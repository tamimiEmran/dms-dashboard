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1" documentId="11_E4257DD6552FA17543EAFF0F1B2C33D5FBD6A819" xr6:coauthVersionLast="47" xr6:coauthVersionMax="47" xr10:uidLastSave="{DC204A83-5673-474A-AEAF-CF4BE4AFF8F2}"/>
  <bookViews>
    <workbookView xWindow="0" yWindow="0" windowWidth="16384" windowHeight="8192" tabRatio="500" firstSheet="8" activeTab="8" xr2:uid="{00000000-000D-0000-FFFF-FFFF00000000}"/>
  </bookViews>
  <sheets>
    <sheet name="Start Page" sheetId="1" r:id="rId1"/>
    <sheet name="Summary Dashboard" sheetId="2" r:id="rId2"/>
    <sheet name="Test Procedure" sheetId="3" r:id="rId3"/>
    <sheet name="1. CPU &amp; Memory" sheetId="4" r:id="rId4"/>
    <sheet name="2. Storage" sheetId="5" r:id="rId5"/>
    <sheet name="3. Network" sheetId="6" r:id="rId6"/>
    <sheet name="4. Model Performance" sheetId="7" r:id="rId7"/>
    <sheet name="5. Power &amp; Thermal" sheetId="8" r:id="rId8"/>
    <sheet name="6. Application Health" sheetId="9" r:id="rId9"/>
  </sheets>
  <calcPr calcId="191028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8" l="1"/>
  <c r="E33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D42" i="7"/>
  <c r="D41" i="7"/>
  <c r="D40" i="7"/>
  <c r="D39" i="7"/>
  <c r="H23" i="6"/>
  <c r="G23" i="6"/>
  <c r="F23" i="6"/>
  <c r="E23" i="6"/>
  <c r="D23" i="6"/>
  <c r="H22" i="6"/>
  <c r="G22" i="6"/>
  <c r="F22" i="6"/>
  <c r="E22" i="6"/>
  <c r="D22" i="6"/>
  <c r="F27" i="5"/>
  <c r="F26" i="5"/>
  <c r="F25" i="5"/>
  <c r="F24" i="5"/>
  <c r="F20" i="5"/>
  <c r="E20" i="5"/>
  <c r="D20" i="5"/>
  <c r="F56" i="4"/>
  <c r="D56" i="4"/>
  <c r="F55" i="4"/>
  <c r="F54" i="4"/>
  <c r="F53" i="4"/>
  <c r="D53" i="4"/>
  <c r="F52" i="4"/>
  <c r="F16" i="2"/>
  <c r="E16" i="2"/>
  <c r="C16" i="2"/>
  <c r="F4" i="2"/>
  <c r="C4" i="2"/>
  <c r="F3" i="2"/>
  <c r="E32" i="8" l="1"/>
  <c r="E31" i="8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</calcChain>
</file>

<file path=xl/sharedStrings.xml><?xml version="1.0" encoding="utf-8"?>
<sst xmlns="http://schemas.openxmlformats.org/spreadsheetml/2006/main" count="314" uniqueCount="267">
  <si>
    <t xml:space="preserve"> DEVICE ASSESSMENT REPORT</t>
  </si>
  <si>
    <t>Howen MDT5-V5    Android Taxi Meter</t>
  </si>
  <si>
    <t>TEST IDENTIFICATION</t>
  </si>
  <si>
    <t>Test Reference ID</t>
  </si>
  <si>
    <t>Test Date</t>
  </si>
  <si>
    <t>Test Location / Route</t>
  </si>
  <si>
    <t>Vehicle Plate Number</t>
  </si>
  <si>
    <t>Driver / Operator Name</t>
  </si>
  <si>
    <t xml:space="preserve">Tester </t>
  </si>
  <si>
    <t>Test Duration (minutes)</t>
  </si>
  <si>
    <t>Firmware / OS Version</t>
  </si>
  <si>
    <t xml:space="preserve">Android </t>
  </si>
  <si>
    <t>DEVICE SPECIFICATION SUMMARY</t>
  </si>
  <si>
    <t>CPU</t>
  </si>
  <si>
    <t>Quad-core ARM Cortex-A55 (with Neon SIMD, VFP single/double precision)</t>
  </si>
  <si>
    <t>Security</t>
  </si>
  <si>
    <t>ARMv8 Cryptography Extensions + TrustZone</t>
  </si>
  <si>
    <t>Cache</t>
  </si>
  <si>
    <t>32KB L1-I, 32KB L1-D (ECC), 512KB unified L3 (ECC)</t>
  </si>
  <si>
    <t>Power</t>
  </si>
  <si>
    <t>Per-core power domains with internal power switching</t>
  </si>
  <si>
    <t>NPU</t>
  </si>
  <si>
    <t>Up to 1 TOPS — INT8 / INT16 / FP16 / BFP16</t>
  </si>
  <si>
    <t>AI Frameworks</t>
  </si>
  <si>
    <t>TensorFlow, TF Lite, PyTorch, Caffe, ONNX, MXNet, Keras, Darknet</t>
  </si>
  <si>
    <t>ASSESSMENT SCOPE</t>
  </si>
  <si>
    <t>1. CPU &amp; Memory</t>
  </si>
  <si>
    <t>Utilization, temperature, throttling, RAM usage, memory leaks</t>
  </si>
  <si>
    <t>2. Storage</t>
  </si>
  <si>
    <t>Disk throughput during load &amp; inference, available space</t>
  </si>
  <si>
    <t>3. Network</t>
  </si>
  <si>
    <t>Bandwidth, latency and packet loss on existing calls</t>
  </si>
  <si>
    <t>4. Model Performance</t>
  </si>
  <si>
    <t>Inference latency, throughput, startup time, output consistency</t>
  </si>
  <si>
    <t>5. Power &amp; Thermal</t>
  </si>
  <si>
    <t>Power draw and device temperature over a 30-minute run</t>
  </si>
  <si>
    <t>6. Application Health</t>
  </si>
  <si>
    <t>Latency and stability of other running processes</t>
  </si>
  <si>
    <t>REVIEW &amp; SIGN-OFF</t>
  </si>
  <si>
    <t>Prepared By</t>
  </si>
  <si>
    <t>Technical Affairs &amp; Innovation</t>
  </si>
  <si>
    <t>Reviewed By</t>
  </si>
  <si>
    <t>Approved By</t>
  </si>
  <si>
    <t>Date of Approval</t>
  </si>
  <si>
    <t>ASSESSMENT SUMMARY DASHBOARD</t>
  </si>
  <si>
    <t>Device</t>
  </si>
  <si>
    <t>Howen MDT5-V5 Android Taxi Meter</t>
  </si>
  <si>
    <t>Vehicle</t>
  </si>
  <si>
    <t>Tester</t>
  </si>
  <si>
    <t>CATEGORY RESULTS</t>
  </si>
  <si>
    <t>Assessment Category</t>
  </si>
  <si>
    <t>Key Metric</t>
  </si>
  <si>
    <t>Result</t>
  </si>
  <si>
    <t>Status</t>
  </si>
  <si>
    <t>Comments</t>
  </si>
  <si>
    <t>CPU &amp; Memory</t>
  </si>
  <si>
    <t>Peak CPU temp / Peak RAM %</t>
  </si>
  <si>
    <t>Storage</t>
  </si>
  <si>
    <t>Avg Seq Read / Free space</t>
  </si>
  <si>
    <t>Network</t>
  </si>
  <si>
    <t>Avg Latency / Loss</t>
  </si>
  <si>
    <t>Model Performance</t>
  </si>
  <si>
    <t>Avg inference latency / Match rate</t>
  </si>
  <si>
    <t>Power &amp; Thermal</t>
  </si>
  <si>
    <t>Avg power / Peak surface temp</t>
  </si>
  <si>
    <t>Application Health</t>
  </si>
  <si>
    <t>Crashes / ANRs</t>
  </si>
  <si>
    <t>OVERALL VERDICT</t>
  </si>
  <si>
    <t>Categories Passed</t>
  </si>
  <si>
    <t>Categories Failed</t>
  </si>
  <si>
    <t>KEY FINDINGS &amp; RECOMMENDATIONS</t>
  </si>
  <si>
    <t>Severity</t>
  </si>
  <si>
    <t>Category</t>
  </si>
  <si>
    <t>Finding</t>
  </si>
  <si>
    <t>Recommendation</t>
  </si>
  <si>
    <t>Owner</t>
  </si>
  <si>
    <t>TEST PROCEDURE &amp; PRE FLIGHT CHECKLIST</t>
  </si>
  <si>
    <t>PREPARATION</t>
  </si>
  <si>
    <t>#</t>
  </si>
  <si>
    <t>Step</t>
  </si>
  <si>
    <t>Details</t>
  </si>
  <si>
    <t>Vehicle ready</t>
  </si>
  <si>
    <t>Engine on</t>
  </si>
  <si>
    <t>Device baseline</t>
  </si>
  <si>
    <t>Boot device, allow 5 minutes to settle. Record idle CPU %, idle RAM, idle temperature.</t>
  </si>
  <si>
    <t>Software</t>
  </si>
  <si>
    <t>Confirm firmware, OS build, meter application version, AI model version. Record on Cover sheet.</t>
  </si>
  <si>
    <t>Tools</t>
  </si>
  <si>
    <t>Install/enable on-device monitoring (top/dumpsys/perfetto), thermal sensors, battery stats, network probe.</t>
  </si>
  <si>
    <t>Note free space before test. Clear any cached test logs from previous runs.</t>
  </si>
  <si>
    <t>Verify SIM/Wi-Fi signal strength. Run a baseline ping and bandwidth check (record on Network sheet).</t>
  </si>
  <si>
    <t xml:space="preserve">EXECUTION </t>
  </si>
  <si>
    <t>Phase</t>
  </si>
  <si>
    <t>Idle phase (5 min)</t>
  </si>
  <si>
    <t>Device idle, application open but not actively dispatching. Sample CPU, RAM, temp every 60s.</t>
  </si>
  <si>
    <t>Active metering (10 min)</t>
  </si>
  <si>
    <t>Simulate continuous taxi trip  GPS fixes, fare calculation, meter screen updates.</t>
  </si>
  <si>
    <t>Inference load (10 min)</t>
  </si>
  <si>
    <t>Run AI workload on NPU (driver-monitoring / OCR / dispatch model). Log inference latency.</t>
  </si>
  <si>
    <t>Combined load (5 min)</t>
  </si>
  <si>
    <t>Active metering + inference + voice/data call simultaneously. Stress test.</t>
  </si>
  <si>
    <t>Cooldown observation</t>
  </si>
  <si>
    <t>Stop load, continue logging for 5 minutes. Verify thermal recovery and memory release.</t>
  </si>
  <si>
    <t>Log capture</t>
  </si>
  <si>
    <t>Pull logs: CPU, RAM, thermal, battery, network, application logcat, inference log.</t>
  </si>
  <si>
    <t>1. CPU &amp; MEMORY  UTILIZATION, THERMAL, RAM</t>
  </si>
  <si>
    <t xml:space="preserve">ACCEPTANCE THRESHOLDS </t>
  </si>
  <si>
    <t>Parameter</t>
  </si>
  <si>
    <t>Limit</t>
  </si>
  <si>
    <t>Max sustained CPU %</t>
  </si>
  <si>
    <t>Max peak CPU %</t>
  </si>
  <si>
    <t>Max CPU temperature (°C)</t>
  </si>
  <si>
    <t>Throttling threshold (°C)</t>
  </si>
  <si>
    <t>Max RAM utilization %</t>
  </si>
  <si>
    <t>Memory leak tolerance (MB / 30 min)</t>
  </si>
  <si>
    <t>TIME-SERIES SAMPLES (every 60 seconds — 30 min run + 5 min cooldown)</t>
  </si>
  <si>
    <t>Time (min)</t>
  </si>
  <si>
    <t>CPU 0 %</t>
  </si>
  <si>
    <t>CPU 1 %</t>
  </si>
  <si>
    <t>CPU 2 %</t>
  </si>
  <si>
    <t>CPU 3 %</t>
  </si>
  <si>
    <t>Avg CPU %</t>
  </si>
  <si>
    <t>CPU Temp °C</t>
  </si>
  <si>
    <t>RAM Used (MB)</t>
  </si>
  <si>
    <t>RAM %</t>
  </si>
  <si>
    <t>Notes / Throttling Observed</t>
  </si>
  <si>
    <t>SUMMARY</t>
  </si>
  <si>
    <t>Metric</t>
  </si>
  <si>
    <t>Value</t>
  </si>
  <si>
    <t>Peak CPU %</t>
  </si>
  <si>
    <t>Average CPU %</t>
  </si>
  <si>
    <t>Peak CPU Temp °C</t>
  </si>
  <si>
    <t>Peak RAM %</t>
  </si>
  <si>
    <t>RAM Drift (MB) = Last − First</t>
  </si>
  <si>
    <t>MEMORY LEAK / THROTTLING OBSERVATIONS</t>
  </si>
  <si>
    <t>Timestamp</t>
  </si>
  <si>
    <t>Process / Component</t>
  </si>
  <si>
    <t>Observation</t>
  </si>
  <si>
    <t>RAM Δ (MB)</t>
  </si>
  <si>
    <t>Action Taken</t>
  </si>
  <si>
    <t>2. STORAGE — THROUGHPUT &amp; CAPACITY</t>
  </si>
  <si>
    <t>ACCEPTANCE THRESHOLDS</t>
  </si>
  <si>
    <t>Min sequential read (MB/s)</t>
  </si>
  <si>
    <t>Min sequential write (MB/s)</t>
  </si>
  <si>
    <t>Min random read IOPS (4K)</t>
  </si>
  <si>
    <t>Min random write IOPS (4K)</t>
  </si>
  <si>
    <t>Min free space remaining (%)</t>
  </si>
  <si>
    <t>DISK THROUGHPUT — DURING LOAD &amp; INFERENCE</t>
  </si>
  <si>
    <t>Test Scenario</t>
  </si>
  <si>
    <t>Seq Read (MB/s)</t>
  </si>
  <si>
    <t>Seq Write (MB/s)</t>
  </si>
  <si>
    <t>Rand Read IOPS</t>
  </si>
  <si>
    <t>Rand Write IOPS</t>
  </si>
  <si>
    <t>Notes</t>
  </si>
  <si>
    <t>Idle baseline</t>
  </si>
  <si>
    <t>Active metering only</t>
  </si>
  <si>
    <t>AI inference only</t>
  </si>
  <si>
    <t>Metering + Inference</t>
  </si>
  <si>
    <t>Metering + Inference + Network call</t>
  </si>
  <si>
    <t>Cooldown</t>
  </si>
  <si>
    <t>Average across scenarios</t>
  </si>
  <si>
    <t>STORAGE CAPACITY</t>
  </si>
  <si>
    <t>Measurement</t>
  </si>
  <si>
    <t>Before Test</t>
  </si>
  <si>
    <t>After Test</t>
  </si>
  <si>
    <t>Δ (Used)</t>
  </si>
  <si>
    <t>Free %</t>
  </si>
  <si>
    <t>/ (system)</t>
  </si>
  <si>
    <t>/data (user)</t>
  </si>
  <si>
    <t>/cache</t>
  </si>
  <si>
    <t>External / removable</t>
  </si>
  <si>
    <t>3. NETWORK — BANDWIDTH, LATENCY, PACKET LOSS</t>
  </si>
  <si>
    <t>Min download bandwidth (Mbps)</t>
  </si>
  <si>
    <t>Min upload bandwidth (Mbps)</t>
  </si>
  <si>
    <t>Max round-trip latency (ms)</t>
  </si>
  <si>
    <t>Max jitter (ms)</t>
  </si>
  <si>
    <t>Max packet loss (%)</t>
  </si>
  <si>
    <t>Min signal strength (dBm)</t>
  </si>
  <si>
    <t>NETWORK MEASUREMENTS</t>
  </si>
  <si>
    <t>Down (Mbps)</t>
  </si>
  <si>
    <t>Up (Mbps)</t>
  </si>
  <si>
    <t>Latency (ms)</t>
  </si>
  <si>
    <t>Jitter (ms)</t>
  </si>
  <si>
    <t>Loss (%)</t>
  </si>
  <si>
    <t>Signal (dBm)</t>
  </si>
  <si>
    <t>Summary</t>
  </si>
  <si>
    <t>Average</t>
  </si>
  <si>
    <t>Worst (Peak)</t>
  </si>
  <si>
    <t>CALL QUALITY OBSERVATIONS</t>
  </si>
  <si>
    <t>Time</t>
  </si>
  <si>
    <t>Call Type</t>
  </si>
  <si>
    <t>Duration (s)</t>
  </si>
  <si>
    <t>Audio Quality (1-5)</t>
  </si>
  <si>
    <t>Drop</t>
  </si>
  <si>
    <t>Reconnects</t>
  </si>
  <si>
    <t>Carrier / Cell</t>
  </si>
  <si>
    <t>4. MODEL PERFORMANCE — NPU INFERENCE</t>
  </si>
  <si>
    <t>MODEL UNDER TEST</t>
  </si>
  <si>
    <t>Model Name</t>
  </si>
  <si>
    <t>Framework</t>
  </si>
  <si>
    <t>Precision</t>
  </si>
  <si>
    <t>Input Size / Shape</t>
  </si>
  <si>
    <t>Target Device Component</t>
  </si>
  <si>
    <t>NPU (1 TOPS)</t>
  </si>
  <si>
    <t>Model Size (MB)</t>
  </si>
  <si>
    <t>Max inference latency (ms)</t>
  </si>
  <si>
    <t>Min throughput (inferences / sec)</t>
  </si>
  <si>
    <t>Max cold-start time (ms)</t>
  </si>
  <si>
    <t>Max warm-start time (ms)</t>
  </si>
  <si>
    <t>Min output consistency (%)</t>
  </si>
  <si>
    <t>Max P99 latency (ms)</t>
  </si>
  <si>
    <t>INFERENCE RUNS (capture latency for representative batches)</t>
  </si>
  <si>
    <t>Batch / Sample</t>
  </si>
  <si>
    <t>P50 (ms)</t>
  </si>
  <si>
    <t>P95 (ms)</t>
  </si>
  <si>
    <t>P99 (ms)</t>
  </si>
  <si>
    <t>Throughput (ips)</t>
  </si>
  <si>
    <t>Output Match?</t>
  </si>
  <si>
    <t>Average Latency (ms)</t>
  </si>
  <si>
    <t>Peak Latency (ms)</t>
  </si>
  <si>
    <t>Average Throughput (ips)</t>
  </si>
  <si>
    <t>Output Match Rate (%)</t>
  </si>
  <si>
    <t>Cold Start (ms)</t>
  </si>
  <si>
    <t>Warm Start (ms)</t>
  </si>
  <si>
    <t>5. POWER &amp; THERMAL — 30-MINUTE PROFILE</t>
  </si>
  <si>
    <t>Max sustained power (W)</t>
  </si>
  <si>
    <t>Max peak power (W)</t>
  </si>
  <si>
    <t>Max device surface temp (°C)</t>
  </si>
  <si>
    <t>Max ambient + ΔT (°C)</t>
  </si>
  <si>
    <t>Thermal throttling allowed</t>
  </si>
  <si>
    <t xml:space="preserve">POWER &amp; TEMPERATURE SAMPLES </t>
  </si>
  <si>
    <t>Voltage (V)</t>
  </si>
  <si>
    <t>Current (A)</t>
  </si>
  <si>
    <t>Power (W)</t>
  </si>
  <si>
    <t>Surface Temp °C</t>
  </si>
  <si>
    <t>Battery Temp °C</t>
  </si>
  <si>
    <t>Average Power (W)</t>
  </si>
  <si>
    <t>Peak Power (W)</t>
  </si>
  <si>
    <t>Peak CPU Temp (°C)</t>
  </si>
  <si>
    <t>Peak Surface Temp (°C)</t>
  </si>
  <si>
    <t>6. APPLICATION HEALTH — OTHER PROCESSES</t>
  </si>
  <si>
    <t>Max UI response time (ms)</t>
  </si>
  <si>
    <t>Max app cold-start (ms)</t>
  </si>
  <si>
    <t>Max app warm-start (ms)</t>
  </si>
  <si>
    <t>Max ANR (Application Not Responding) events</t>
  </si>
  <si>
    <t>Max crash events</t>
  </si>
  <si>
    <t>Max background CPU per app (%)</t>
  </si>
  <si>
    <t>RUNNING PROCESSES — LATENCY &amp; STABILITY</t>
  </si>
  <si>
    <t>Process / Application</t>
  </si>
  <si>
    <t>CPU %</t>
  </si>
  <si>
    <t>RAM (MB)</t>
  </si>
  <si>
    <t>UI Latency (ms)</t>
  </si>
  <si>
    <t>Crashes</t>
  </si>
  <si>
    <t>ANRs</t>
  </si>
  <si>
    <t>Taxi meter app (foreground)</t>
  </si>
  <si>
    <t>GPS / Location service</t>
  </si>
  <si>
    <t>Dispatch / Fleet client</t>
  </si>
  <si>
    <t>Card / Payment service</t>
  </si>
  <si>
    <t>Camera / Driver monitoring</t>
  </si>
  <si>
    <t>OS / System UI</t>
  </si>
  <si>
    <t>Background sync</t>
  </si>
  <si>
    <t>STABILITY EVENT LOG</t>
  </si>
  <si>
    <t>Process</t>
  </si>
  <si>
    <t>Event Type</t>
  </si>
  <si>
    <t>Recovered?</t>
  </si>
  <si>
    <t>Recovery Time (s)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</si>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</sst>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family val="2"/>
      <charset val="1"/>
    </font>
    <font>
      <b/>
      <sz val="22"/>
      <color rgb="FFFFFFFF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8"/>
      <color rgb="FFFFFFFF"/>
      <name val="Calibri"/>
      <charset val="1"/>
    </font>
    <font>
      <b/>
      <sz val="12"/>
      <color rgb="FF000000"/>
      <name val="Calibri"/>
      <charset val="1"/>
    </font>
    <font>
      <b/>
      <sz val="16"/>
      <color rgb="FFFFFFFF"/>
      <name val="Calibri"/>
      <charset val="1"/>
    </font>
    <font>
      <b/>
      <sz val="15"/>
      <color rgb="FFFFFFFF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111111"/>
        <bgColor rgb="FF1C1C1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DF1F9"/>
        <bgColor rgb="FFF2F2F2"/>
      </patternFill>
    </fill>
    <fill>
      <patternFill patternType="solid">
        <fgColor rgb="FFFF4000"/>
        <bgColor rgb="FFFF0000"/>
      </patternFill>
    </fill>
    <fill>
      <patternFill patternType="solid">
        <fgColor rgb="FFE2EFDA"/>
        <bgColor rgb="FFEDF1F9"/>
      </patternFill>
    </fill>
    <fill>
      <patternFill patternType="solid">
        <fgColor rgb="FF2E5C9E"/>
        <bgColor rgb="FF333399"/>
      </patternFill>
    </fill>
    <fill>
      <patternFill patternType="solid">
        <fgColor rgb="FFF2F2F2"/>
        <bgColor rgb="FFEDF1F9"/>
      </patternFill>
    </fill>
    <fill>
      <patternFill patternType="solid">
        <fgColor rgb="FF1C1C1C"/>
        <bgColor rgb="FF111111"/>
      </patternFill>
    </fill>
    <fill>
      <patternFill patternType="solid">
        <fgColor rgb="FF333333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F0000"/>
        <bgColor rgb="FFFF4000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8000"/>
      </patternFill>
    </fill>
    <fill>
      <patternFill patternType="solid">
        <fgColor rgb="FFFF8000"/>
        <bgColor rgb="FFBF8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8" fillId="15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11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18" borderId="1" xfId="0" applyFont="1" applyFill="1" applyBorder="1" applyAlignment="1">
      <alignment horizontal="center" vertical="center" wrapText="1"/>
    </xf>
    <xf numFmtId="0" fontId="0" fillId="18" borderId="0" xfId="0" applyFill="1"/>
    <xf numFmtId="0" fontId="0" fillId="18" borderId="1" xfId="0" applyFill="1" applyBorder="1"/>
    <xf numFmtId="0" fontId="0" fillId="0" borderId="1" xfId="0" applyBorder="1"/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6" borderId="1" xfId="0" applyFont="1" applyFill="1" applyBorder="1"/>
    <xf numFmtId="0" fontId="3" fillId="1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F1F9"/>
      <rgbColor rgb="FF660066"/>
      <rgbColor rgb="FFFF8080"/>
      <rgbColor rgb="FF2E5C9E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BF8F00"/>
      <rgbColor rgb="FFFFCC00"/>
      <rgbColor rgb="FFFF8000"/>
      <rgbColor rgb="FFFF4000"/>
      <rgbColor rgb="FF595959"/>
      <rgbColor rgb="FF969696"/>
      <rgbColor rgb="FF1F3864"/>
      <rgbColor rgb="FF339966"/>
      <rgbColor rgb="FF111111"/>
      <rgbColor rgb="FF1C1C1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83520</xdr:colOff>
      <xdr:row>2</xdr:row>
      <xdr:rowOff>65880</xdr:rowOff>
    </xdr:from>
    <xdr:to>
      <xdr:col>1</xdr:col>
      <xdr:colOff>1577520</xdr:colOff>
      <xdr:row>2</xdr:row>
      <xdr:rowOff>593640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0280" y="351720"/>
          <a:ext cx="1494000" cy="52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D1048576"/>
  <sheetViews>
    <sheetView showGridLines="0" zoomScaleNormal="100" workbookViewId="0">
      <pane ySplit="3" topLeftCell="A4" activePane="bottomLeft" state="frozen"/>
      <selection pane="bottomLeft" activeCell="C14" sqref="C14"/>
    </sheetView>
  </sheetViews>
  <sheetFormatPr defaultColWidth="8.7109375" defaultRowHeight="15"/>
  <cols>
    <col min="1" max="1" width="3" customWidth="1"/>
    <col min="2" max="2" width="28" customWidth="1"/>
    <col min="3" max="3" width="50" customWidth="1"/>
    <col min="4" max="4" width="58.7109375" customWidth="1"/>
  </cols>
  <sheetData>
    <row r="2" spans="2:4" ht="7.5" customHeight="1"/>
    <row r="3" spans="2:4" ht="58.15" customHeight="1">
      <c r="B3" s="10" t="s">
        <v>0</v>
      </c>
      <c r="C3" s="10"/>
      <c r="D3" s="10"/>
    </row>
    <row r="4" spans="2:4" ht="30" customHeight="1">
      <c r="B4" s="9" t="s">
        <v>1</v>
      </c>
      <c r="C4" s="9"/>
      <c r="D4" s="9"/>
    </row>
    <row r="5" spans="2:4" ht="13.5" customHeight="1"/>
    <row r="6" spans="2:4" ht="21.75" customHeight="1">
      <c r="B6" s="8" t="s">
        <v>2</v>
      </c>
      <c r="C6" s="8"/>
      <c r="D6" s="8"/>
    </row>
    <row r="7" spans="2:4" ht="21.75" customHeight="1">
      <c r="B7" s="15" t="s">
        <v>3</v>
      </c>
      <c r="C7" s="16"/>
    </row>
    <row r="8" spans="2:4" ht="21.75" customHeight="1">
      <c r="B8" s="15" t="s">
        <v>4</v>
      </c>
      <c r="C8" s="16"/>
    </row>
    <row r="9" spans="2:4" ht="21.75" customHeight="1">
      <c r="B9" s="15" t="s">
        <v>5</v>
      </c>
      <c r="C9" s="16"/>
    </row>
    <row r="10" spans="2:4" ht="21.75" customHeight="1">
      <c r="B10" s="15" t="s">
        <v>6</v>
      </c>
      <c r="C10" s="16"/>
    </row>
    <row r="11" spans="2:4" ht="21.75" customHeight="1">
      <c r="B11" s="15" t="s">
        <v>7</v>
      </c>
      <c r="C11" s="16"/>
    </row>
    <row r="12" spans="2:4" ht="21.75" customHeight="1">
      <c r="B12" s="15" t="s">
        <v>8</v>
      </c>
      <c r="C12" s="16"/>
    </row>
    <row r="13" spans="2:4" ht="21.75" customHeight="1">
      <c r="B13" s="15" t="s">
        <v>9</v>
      </c>
      <c r="C13" s="17"/>
    </row>
    <row r="14" spans="2:4" ht="21.75" customHeight="1">
      <c r="B14" s="15" t="s">
        <v>10</v>
      </c>
      <c r="C14" s="17" t="s">
        <v>11</v>
      </c>
    </row>
    <row r="16" spans="2:4" ht="21.75" customHeight="1">
      <c r="B16" s="8" t="s">
        <v>12</v>
      </c>
      <c r="C16" s="8"/>
      <c r="D16" s="8"/>
    </row>
    <row r="17" spans="2:4" ht="21.75" customHeight="1">
      <c r="B17" s="18" t="s">
        <v>13</v>
      </c>
      <c r="C17" s="19" t="s">
        <v>14</v>
      </c>
    </row>
    <row r="18" spans="2:4" ht="21.75" customHeight="1">
      <c r="B18" s="18" t="s">
        <v>15</v>
      </c>
      <c r="C18" s="19" t="s">
        <v>16</v>
      </c>
    </row>
    <row r="19" spans="2:4" ht="21.75" customHeight="1">
      <c r="B19" s="18" t="s">
        <v>17</v>
      </c>
      <c r="C19" s="19" t="s">
        <v>18</v>
      </c>
    </row>
    <row r="20" spans="2:4" ht="21.75" customHeight="1">
      <c r="B20" s="18" t="s">
        <v>19</v>
      </c>
      <c r="C20" s="19" t="s">
        <v>20</v>
      </c>
    </row>
    <row r="21" spans="2:4" ht="21.75" customHeight="1">
      <c r="B21" s="18" t="s">
        <v>21</v>
      </c>
      <c r="C21" s="19" t="s">
        <v>22</v>
      </c>
    </row>
    <row r="22" spans="2:4" ht="21.75" customHeight="1">
      <c r="B22" s="18" t="s">
        <v>23</v>
      </c>
      <c r="C22" s="19" t="s">
        <v>24</v>
      </c>
    </row>
    <row r="23" spans="2:4" ht="13.9"/>
    <row r="24" spans="2:4" ht="21.75" customHeight="1">
      <c r="B24" s="7" t="s">
        <v>25</v>
      </c>
      <c r="C24" s="7"/>
      <c r="D24" s="7"/>
    </row>
    <row r="25" spans="2:4" ht="21.75" customHeight="1">
      <c r="B25" s="20" t="s">
        <v>26</v>
      </c>
      <c r="C25" s="19" t="s">
        <v>27</v>
      </c>
    </row>
    <row r="26" spans="2:4" ht="21.75" customHeight="1">
      <c r="B26" s="20" t="s">
        <v>28</v>
      </c>
      <c r="C26" s="19" t="s">
        <v>29</v>
      </c>
    </row>
    <row r="27" spans="2:4" ht="21.75" customHeight="1">
      <c r="B27" s="20" t="s">
        <v>30</v>
      </c>
      <c r="C27" s="19" t="s">
        <v>31</v>
      </c>
    </row>
    <row r="28" spans="2:4" ht="21.75" customHeight="1">
      <c r="B28" s="20" t="s">
        <v>32</v>
      </c>
      <c r="C28" s="19" t="s">
        <v>33</v>
      </c>
    </row>
    <row r="29" spans="2:4" ht="21.75" customHeight="1">
      <c r="B29" s="20" t="s">
        <v>34</v>
      </c>
      <c r="C29" s="19" t="s">
        <v>35</v>
      </c>
    </row>
    <row r="30" spans="2:4" ht="21.75" customHeight="1">
      <c r="B30" s="20" t="s">
        <v>36</v>
      </c>
      <c r="C30" s="19" t="s">
        <v>37</v>
      </c>
    </row>
    <row r="32" spans="2:4" ht="21.75" customHeight="1">
      <c r="B32" s="12" t="s">
        <v>38</v>
      </c>
      <c r="C32" s="12"/>
      <c r="D32" s="12"/>
    </row>
    <row r="33" spans="2:3" ht="24" customHeight="1">
      <c r="B33" s="21" t="s">
        <v>39</v>
      </c>
      <c r="C33" s="22" t="s">
        <v>40</v>
      </c>
    </row>
    <row r="34" spans="2:3" ht="24" customHeight="1">
      <c r="B34" s="21" t="s">
        <v>41</v>
      </c>
      <c r="C34" s="22"/>
    </row>
    <row r="35" spans="2:3" ht="24" customHeight="1">
      <c r="B35" s="21" t="s">
        <v>42</v>
      </c>
      <c r="C35" s="22"/>
    </row>
    <row r="36" spans="2:3" ht="24" customHeight="1">
      <c r="B36" s="21" t="s">
        <v>43</v>
      </c>
      <c r="C36" s="22"/>
    </row>
    <row r="37" spans="2:3" ht="24" customHeight="1">
      <c r="B37" s="21"/>
      <c r="C37" s="22"/>
    </row>
    <row r="1048575" ht="12.75"/>
    <row r="1048576" ht="12.75"/>
  </sheetData>
  <mergeCells count="6">
    <mergeCell ref="B32:D32"/>
    <mergeCell ref="B3:D3"/>
    <mergeCell ref="B4:D4"/>
    <mergeCell ref="B6:D6"/>
    <mergeCell ref="B16:D16"/>
    <mergeCell ref="B24:D24"/>
  </mergeCells>
  <dataValidations count="1">
    <dataValidation type="list" allowBlank="1" sqref="C37" xr:uid="{00000000-0002-0000-0000-000000000000}">
      <formula1>"Pass,Pass with Observations,Fail,Pending"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9E"/>
    <pageSetUpPr fitToPage="1"/>
  </sheetPr>
  <dimension ref="A1:F27"/>
  <sheetViews>
    <sheetView showGridLines="0" zoomScaleNormal="100" workbookViewId="0">
      <pane ySplit="3" topLeftCell="A16" activePane="bottomLeft" state="frozen"/>
      <selection pane="bottomLeft" activeCell="K9" sqref="K9"/>
    </sheetView>
  </sheetViews>
  <sheetFormatPr defaultColWidth="8.7109375" defaultRowHeight="15"/>
  <cols>
    <col min="1" max="1" width="4" customWidth="1"/>
    <col min="2" max="2" width="30" customWidth="1"/>
    <col min="3" max="5" width="22" customWidth="1"/>
    <col min="6" max="6" width="28" customWidth="1"/>
  </cols>
  <sheetData>
    <row r="1" spans="1:6" ht="39.75" customHeight="1">
      <c r="B1" s="6" t="s">
        <v>44</v>
      </c>
      <c r="C1" s="6"/>
      <c r="D1" s="6"/>
      <c r="E1" s="6"/>
      <c r="F1" s="6"/>
    </row>
    <row r="2" spans="1:6" ht="7.5" customHeight="1"/>
    <row r="3" spans="1:6" ht="24" customHeight="1">
      <c r="B3" s="15" t="s">
        <v>45</v>
      </c>
      <c r="C3" s="5" t="s">
        <v>46</v>
      </c>
      <c r="D3" s="5"/>
      <c r="E3" s="15" t="s">
        <v>4</v>
      </c>
      <c r="F3" s="19">
        <f>'Start Page'!C8</f>
        <v>0</v>
      </c>
    </row>
    <row r="4" spans="1:6" ht="24" customHeight="1">
      <c r="B4" s="15" t="s">
        <v>47</v>
      </c>
      <c r="C4" s="5">
        <f>'Start Page'!C10</f>
        <v>0</v>
      </c>
      <c r="D4" s="5"/>
      <c r="E4" s="15" t="s">
        <v>48</v>
      </c>
      <c r="F4" s="19">
        <f>'Start Page'!C12</f>
        <v>0</v>
      </c>
    </row>
    <row r="6" spans="1:6" ht="21.75" customHeight="1">
      <c r="B6" s="4" t="s">
        <v>49</v>
      </c>
      <c r="C6" s="4"/>
      <c r="D6" s="4"/>
      <c r="E6" s="4"/>
      <c r="F6" s="4"/>
    </row>
    <row r="7" spans="1:6" ht="31.5" customHeight="1">
      <c r="A7" s="23"/>
      <c r="B7" s="24" t="s">
        <v>50</v>
      </c>
      <c r="C7" s="24" t="s">
        <v>51</v>
      </c>
      <c r="D7" s="24" t="s">
        <v>52</v>
      </c>
      <c r="E7" s="24" t="s">
        <v>53</v>
      </c>
      <c r="F7" s="24" t="s">
        <v>54</v>
      </c>
    </row>
    <row r="8" spans="1:6" ht="27.75" customHeight="1">
      <c r="B8" s="25">
        <v>1</v>
      </c>
      <c r="C8" s="19" t="s">
        <v>55</v>
      </c>
      <c r="D8" s="19" t="s">
        <v>56</v>
      </c>
      <c r="E8" s="25"/>
      <c r="F8" s="19"/>
    </row>
    <row r="9" spans="1:6" ht="27.75" customHeight="1">
      <c r="B9" s="25">
        <v>2</v>
      </c>
      <c r="C9" s="19" t="s">
        <v>57</v>
      </c>
      <c r="D9" s="19" t="s">
        <v>58</v>
      </c>
      <c r="E9" s="25"/>
      <c r="F9" s="19"/>
    </row>
    <row r="10" spans="1:6" ht="27.75" customHeight="1">
      <c r="B10" s="25">
        <v>3</v>
      </c>
      <c r="C10" s="19" t="s">
        <v>59</v>
      </c>
      <c r="D10" s="19" t="s">
        <v>60</v>
      </c>
      <c r="E10" s="25"/>
      <c r="F10" s="19"/>
    </row>
    <row r="11" spans="1:6" ht="27.75" customHeight="1">
      <c r="B11" s="25">
        <v>4</v>
      </c>
      <c r="C11" s="19" t="s">
        <v>61</v>
      </c>
      <c r="D11" s="19" t="s">
        <v>62</v>
      </c>
      <c r="E11" s="25"/>
      <c r="F11" s="19"/>
    </row>
    <row r="12" spans="1:6" ht="27.75" customHeight="1">
      <c r="B12" s="25">
        <v>5</v>
      </c>
      <c r="C12" s="19" t="s">
        <v>63</v>
      </c>
      <c r="D12" s="19" t="s">
        <v>64</v>
      </c>
      <c r="E12" s="25"/>
      <c r="F12" s="19"/>
    </row>
    <row r="13" spans="1:6" ht="27.75" customHeight="1">
      <c r="B13" s="25">
        <v>6</v>
      </c>
      <c r="C13" s="19" t="s">
        <v>65</v>
      </c>
      <c r="D13" s="19" t="s">
        <v>66</v>
      </c>
      <c r="E13" s="25"/>
      <c r="F13" s="19"/>
    </row>
    <row r="15" spans="1:6" ht="21.75" customHeight="1">
      <c r="B15" s="3" t="s">
        <v>67</v>
      </c>
      <c r="C15" s="3"/>
      <c r="D15" s="3"/>
      <c r="E15" s="3"/>
      <c r="F15" s="3"/>
    </row>
    <row r="16" spans="1:6" ht="30" customHeight="1">
      <c r="B16" s="18" t="s">
        <v>68</v>
      </c>
      <c r="C16" s="26">
        <f>COUNTIF(E8:E13,"Pass")</f>
        <v>0</v>
      </c>
      <c r="D16" s="18" t="s">
        <v>69</v>
      </c>
      <c r="E16" s="26">
        <f>COUNTIF(E8:E13,"Fail")</f>
        <v>0</v>
      </c>
      <c r="F16" s="27" t="str">
        <f>IF(COUNTBLANK(E8:E13)&gt;0,"Pending",IF(COUNTIF(E8:E13,"Fail")&gt;0,"FAIL",IF(COUNTIF(E8:E13,"Pass with Observations")&gt;0,"PASS w/ Obs","PASS")))</f>
        <v>Pending</v>
      </c>
    </row>
    <row r="18" spans="1:6" ht="21.75" customHeight="1">
      <c r="B18" s="2" t="s">
        <v>70</v>
      </c>
      <c r="C18" s="2"/>
      <c r="D18" s="2"/>
      <c r="E18" s="2"/>
      <c r="F18" s="2"/>
    </row>
    <row r="19" spans="1:6" ht="31.5" customHeight="1">
      <c r="A19" s="23"/>
      <c r="B19" s="28" t="s">
        <v>71</v>
      </c>
      <c r="C19" s="28" t="s">
        <v>72</v>
      </c>
      <c r="D19" s="28" t="s">
        <v>73</v>
      </c>
      <c r="E19" s="28" t="s">
        <v>74</v>
      </c>
      <c r="F19" s="28" t="s">
        <v>75</v>
      </c>
    </row>
    <row r="20" spans="1:6" ht="36" customHeight="1">
      <c r="B20" s="25">
        <v>1</v>
      </c>
      <c r="C20" s="25"/>
      <c r="D20" s="29"/>
      <c r="E20" s="29"/>
      <c r="F20" s="29"/>
    </row>
    <row r="21" spans="1:6" ht="36" customHeight="1">
      <c r="B21" s="25">
        <v>2</v>
      </c>
      <c r="C21" s="25"/>
      <c r="D21" s="29"/>
      <c r="E21" s="29"/>
      <c r="F21" s="29"/>
    </row>
    <row r="22" spans="1:6" ht="36" customHeight="1">
      <c r="B22" s="25">
        <v>3</v>
      </c>
      <c r="C22" s="25"/>
      <c r="D22" s="29"/>
      <c r="E22" s="29"/>
      <c r="F22" s="29"/>
    </row>
    <row r="23" spans="1:6" ht="36" customHeight="1">
      <c r="B23" s="25">
        <v>4</v>
      </c>
      <c r="C23" s="25"/>
      <c r="D23" s="29"/>
      <c r="E23" s="29"/>
      <c r="F23" s="29"/>
    </row>
    <row r="24" spans="1:6" ht="36" customHeight="1">
      <c r="B24" s="25">
        <v>5</v>
      </c>
      <c r="C24" s="25"/>
      <c r="D24" s="29"/>
      <c r="E24" s="29"/>
      <c r="F24" s="29"/>
    </row>
    <row r="25" spans="1:6" ht="36" customHeight="1">
      <c r="B25" s="25">
        <v>6</v>
      </c>
      <c r="C25" s="25"/>
      <c r="D25" s="29"/>
      <c r="E25" s="29"/>
      <c r="F25" s="29"/>
    </row>
    <row r="26" spans="1:6" ht="36" customHeight="1">
      <c r="B26" s="25">
        <v>7</v>
      </c>
      <c r="C26" s="25"/>
      <c r="D26" s="29"/>
      <c r="E26" s="29"/>
      <c r="F26" s="29"/>
    </row>
    <row r="27" spans="1:6" ht="36" customHeight="1">
      <c r="B27" s="25">
        <v>8</v>
      </c>
      <c r="C27" s="25"/>
      <c r="D27" s="29"/>
      <c r="E27" s="29"/>
      <c r="F27" s="29"/>
    </row>
  </sheetData>
  <mergeCells count="6">
    <mergeCell ref="B18:F18"/>
    <mergeCell ref="B1:F1"/>
    <mergeCell ref="C3:D3"/>
    <mergeCell ref="C4:D4"/>
    <mergeCell ref="B6:F6"/>
    <mergeCell ref="B15:F15"/>
  </mergeCells>
  <dataValidations count="3">
    <dataValidation type="list" allowBlank="1" sqref="E8:E13" xr:uid="{00000000-0002-0000-0100-000000000000}">
      <formula1>"Pass,Pass with Observations,Fail,Pending"</formula1>
      <formula2>0</formula2>
    </dataValidation>
    <dataValidation type="list" allowBlank="1" sqref="C20:C27" xr:uid="{00000000-0002-0000-0100-000001000000}">
      <formula1>"Critical,High,Medium,Low,Info"</formula1>
      <formula2>0</formula2>
    </dataValidation>
    <dataValidation type="list" allowBlank="1" sqref="D20:D27" xr:uid="{00000000-0002-0000-0100-000002000000}">
      <formula1>"CPU &amp; Memory,Storage,Network,Model Performance,Power &amp; Thermal,Application Health,General"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  <pageSetUpPr fitToPage="1"/>
  </sheetPr>
  <dimension ref="A1:E21"/>
  <sheetViews>
    <sheetView showGridLines="0" zoomScaleNormal="100" workbookViewId="0">
      <pane ySplit="3" topLeftCell="A4" activePane="bottomLeft" state="frozen"/>
      <selection pane="bottomLeft" activeCell="B15" sqref="B15"/>
    </sheetView>
  </sheetViews>
  <sheetFormatPr defaultColWidth="8.7109375" defaultRowHeight="15"/>
  <cols>
    <col min="1" max="1" width="4" customWidth="1"/>
    <col min="2" max="2" width="6" customWidth="1"/>
    <col min="3" max="3" width="32" customWidth="1"/>
    <col min="4" max="4" width="60" customWidth="1"/>
    <col min="5" max="5" width="22" customWidth="1"/>
  </cols>
  <sheetData>
    <row r="1" spans="1:5" ht="36" customHeight="1">
      <c r="B1" s="1" t="s">
        <v>76</v>
      </c>
      <c r="C1" s="1"/>
      <c r="D1" s="1"/>
      <c r="E1" s="1"/>
    </row>
    <row r="3" spans="1:5" ht="21.75" customHeight="1">
      <c r="B3" s="12" t="s">
        <v>77</v>
      </c>
      <c r="C3" s="12"/>
      <c r="D3" s="12"/>
      <c r="E3" s="12"/>
    </row>
    <row r="4" spans="1:5" ht="31.5" customHeight="1">
      <c r="A4" s="23" t="s">
        <v>78</v>
      </c>
      <c r="B4" s="30" t="s">
        <v>79</v>
      </c>
      <c r="C4" s="30" t="s">
        <v>80</v>
      </c>
      <c r="D4" s="30" t="s">
        <v>53</v>
      </c>
    </row>
    <row r="5" spans="1:5" ht="31.5" customHeight="1">
      <c r="B5" s="25">
        <v>1</v>
      </c>
      <c r="C5" s="29" t="s">
        <v>81</v>
      </c>
      <c r="D5" s="29" t="s">
        <v>82</v>
      </c>
      <c r="E5" s="25"/>
    </row>
    <row r="6" spans="1:5" ht="31.5" customHeight="1">
      <c r="B6" s="25">
        <v>2</v>
      </c>
      <c r="C6" s="29" t="s">
        <v>83</v>
      </c>
      <c r="D6" s="29" t="s">
        <v>84</v>
      </c>
      <c r="E6" s="25"/>
    </row>
    <row r="7" spans="1:5" ht="31.5" customHeight="1">
      <c r="B7" s="25">
        <v>3</v>
      </c>
      <c r="C7" s="29" t="s">
        <v>85</v>
      </c>
      <c r="D7" s="29" t="s">
        <v>86</v>
      </c>
      <c r="E7" s="25"/>
    </row>
    <row r="8" spans="1:5" ht="31.5" customHeight="1">
      <c r="B8" s="25">
        <v>4</v>
      </c>
      <c r="C8" s="29" t="s">
        <v>87</v>
      </c>
      <c r="D8" s="29" t="s">
        <v>88</v>
      </c>
      <c r="E8" s="25"/>
    </row>
    <row r="9" spans="1:5" ht="31.5" customHeight="1">
      <c r="B9" s="25">
        <v>5</v>
      </c>
      <c r="C9" s="29" t="s">
        <v>57</v>
      </c>
      <c r="D9" s="29" t="s">
        <v>89</v>
      </c>
      <c r="E9" s="25"/>
    </row>
    <row r="10" spans="1:5" ht="31.5" customHeight="1">
      <c r="B10" s="25">
        <v>6</v>
      </c>
      <c r="C10" s="29" t="s">
        <v>59</v>
      </c>
      <c r="D10" s="29" t="s">
        <v>90</v>
      </c>
      <c r="E10" s="25"/>
    </row>
    <row r="11" spans="1:5" ht="31.5" customHeight="1">
      <c r="B11" s="25"/>
      <c r="C11" s="29"/>
      <c r="D11" s="29"/>
      <c r="E11" s="25"/>
    </row>
    <row r="12" spans="1:5" ht="31.5" customHeight="1">
      <c r="B12" s="25"/>
      <c r="C12" s="29"/>
      <c r="D12" s="29"/>
      <c r="E12" s="25"/>
    </row>
    <row r="14" spans="1:5" ht="21.75" customHeight="1">
      <c r="B14" s="12" t="s">
        <v>91</v>
      </c>
      <c r="C14" s="12"/>
      <c r="D14" s="12"/>
      <c r="E14" s="12"/>
    </row>
    <row r="15" spans="1:5" ht="31.5" customHeight="1">
      <c r="A15" s="23" t="s">
        <v>78</v>
      </c>
      <c r="B15" s="30" t="s">
        <v>92</v>
      </c>
      <c r="C15" s="30" t="s">
        <v>80</v>
      </c>
      <c r="D15" s="30" t="s">
        <v>53</v>
      </c>
    </row>
    <row r="16" spans="1:5" ht="31.5" customHeight="1">
      <c r="B16" s="25">
        <v>1</v>
      </c>
      <c r="C16" s="29" t="s">
        <v>93</v>
      </c>
      <c r="D16" s="29" t="s">
        <v>94</v>
      </c>
      <c r="E16" s="25"/>
    </row>
    <row r="17" spans="2:5" ht="31.5" customHeight="1">
      <c r="B17" s="25">
        <v>2</v>
      </c>
      <c r="C17" s="29" t="s">
        <v>95</v>
      </c>
      <c r="D17" s="29" t="s">
        <v>96</v>
      </c>
      <c r="E17" s="25"/>
    </row>
    <row r="18" spans="2:5" ht="31.5" customHeight="1">
      <c r="B18" s="25">
        <v>3</v>
      </c>
      <c r="C18" s="29" t="s">
        <v>97</v>
      </c>
      <c r="D18" s="29" t="s">
        <v>98</v>
      </c>
      <c r="E18" s="25"/>
    </row>
    <row r="19" spans="2:5" ht="31.5" customHeight="1">
      <c r="B19" s="25">
        <v>4</v>
      </c>
      <c r="C19" s="29" t="s">
        <v>99</v>
      </c>
      <c r="D19" s="29" t="s">
        <v>100</v>
      </c>
      <c r="E19" s="25"/>
    </row>
    <row r="20" spans="2:5" ht="31.5" customHeight="1">
      <c r="B20" s="25">
        <v>5</v>
      </c>
      <c r="C20" s="29" t="s">
        <v>101</v>
      </c>
      <c r="D20" s="29" t="s">
        <v>102</v>
      </c>
      <c r="E20" s="25"/>
    </row>
    <row r="21" spans="2:5" ht="31.5" customHeight="1">
      <c r="B21" s="25">
        <v>6</v>
      </c>
      <c r="C21" s="29" t="s">
        <v>103</v>
      </c>
      <c r="D21" s="29" t="s">
        <v>104</v>
      </c>
      <c r="E21" s="25"/>
    </row>
  </sheetData>
  <mergeCells count="3">
    <mergeCell ref="B1:E1"/>
    <mergeCell ref="B3:E3"/>
    <mergeCell ref="B14:E14"/>
  </mergeCells>
  <dataValidations count="1">
    <dataValidation type="list" allowBlank="1" sqref="E5:E21" xr:uid="{00000000-0002-0000-0200-000000000000}">
      <formula1>"Done,In Progress,Skipped,Failed"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K64"/>
  <sheetViews>
    <sheetView showGridLines="0" zoomScaleNormal="100" workbookViewId="0">
      <pane ySplit="3" topLeftCell="A4" activePane="bottomLeft" state="frozen"/>
      <selection pane="bottomLeft" activeCell="E59" sqref="E59"/>
    </sheetView>
  </sheetViews>
  <sheetFormatPr defaultColWidth="8.7109375" defaultRowHeight="15"/>
  <cols>
    <col min="1" max="1" width="4" customWidth="1"/>
    <col min="2" max="2" width="41.28515625" customWidth="1"/>
    <col min="3" max="7" width="12" customWidth="1"/>
    <col min="8" max="10" width="14" customWidth="1"/>
    <col min="11" max="11" width="28" customWidth="1"/>
  </cols>
  <sheetData>
    <row r="1" spans="1:11" ht="33.75" customHeight="1">
      <c r="B1" s="14" t="s">
        <v>105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 ht="21.75" customHeight="1">
      <c r="B3" s="13" t="s">
        <v>106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24" customHeight="1">
      <c r="B4" s="31" t="s">
        <v>107</v>
      </c>
      <c r="C4" s="31" t="s">
        <v>108</v>
      </c>
      <c r="D4" s="32"/>
      <c r="E4" s="32"/>
      <c r="F4" s="32"/>
      <c r="G4" s="32"/>
      <c r="H4" s="32"/>
      <c r="I4" s="32"/>
      <c r="J4" s="32"/>
      <c r="K4" s="32"/>
    </row>
    <row r="5" spans="1:11" ht="19.5" customHeight="1">
      <c r="B5" s="20" t="s">
        <v>109</v>
      </c>
      <c r="C5" s="25"/>
      <c r="D5" s="32"/>
      <c r="E5" s="32"/>
      <c r="F5" s="32"/>
      <c r="G5" s="32"/>
      <c r="H5" s="32"/>
      <c r="I5" s="32"/>
      <c r="J5" s="32"/>
      <c r="K5" s="32"/>
    </row>
    <row r="6" spans="1:11" ht="19.5" customHeight="1">
      <c r="B6" s="20" t="s">
        <v>110</v>
      </c>
      <c r="C6" s="25"/>
      <c r="D6" s="32"/>
      <c r="E6" s="32"/>
      <c r="F6" s="32"/>
      <c r="G6" s="32"/>
      <c r="H6" s="32"/>
      <c r="I6" s="32"/>
      <c r="J6" s="32"/>
      <c r="K6" s="32"/>
    </row>
    <row r="7" spans="1:11" ht="19.5" customHeight="1">
      <c r="B7" s="20" t="s">
        <v>111</v>
      </c>
      <c r="C7" s="25"/>
      <c r="D7" s="32"/>
      <c r="E7" s="32"/>
      <c r="F7" s="32"/>
      <c r="G7" s="32"/>
      <c r="H7" s="32"/>
      <c r="I7" s="32"/>
      <c r="J7" s="32"/>
      <c r="K7" s="32"/>
    </row>
    <row r="8" spans="1:11" ht="19.5" customHeight="1">
      <c r="B8" s="20" t="s">
        <v>112</v>
      </c>
      <c r="C8" s="25"/>
      <c r="D8" s="32"/>
      <c r="E8" s="32"/>
      <c r="F8" s="32"/>
      <c r="G8" s="32"/>
      <c r="H8" s="32"/>
      <c r="I8" s="32"/>
      <c r="J8" s="32"/>
      <c r="K8" s="32"/>
    </row>
    <row r="9" spans="1:11" ht="19.5" customHeight="1">
      <c r="B9" s="20" t="s">
        <v>113</v>
      </c>
      <c r="C9" s="25"/>
      <c r="D9" s="32"/>
      <c r="E9" s="32"/>
      <c r="F9" s="32"/>
      <c r="G9" s="32"/>
      <c r="H9" s="32"/>
      <c r="I9" s="32"/>
      <c r="J9" s="32"/>
      <c r="K9" s="32"/>
    </row>
    <row r="10" spans="1:11" ht="19.5" customHeight="1">
      <c r="B10" s="20" t="s">
        <v>114</v>
      </c>
      <c r="C10" s="25"/>
      <c r="D10" s="32"/>
      <c r="E10" s="32"/>
      <c r="F10" s="32"/>
      <c r="G10" s="32"/>
      <c r="H10" s="32"/>
      <c r="I10" s="32"/>
      <c r="J10" s="32"/>
      <c r="K10" s="32"/>
    </row>
    <row r="12" spans="1:11" ht="21.75" customHeight="1">
      <c r="B12" s="12" t="s">
        <v>115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31.5" customHeight="1">
      <c r="A13" s="23" t="s">
        <v>78</v>
      </c>
      <c r="B13" s="30" t="s">
        <v>116</v>
      </c>
      <c r="C13" s="30" t="s">
        <v>117</v>
      </c>
      <c r="D13" s="30" t="s">
        <v>118</v>
      </c>
      <c r="E13" s="30" t="s">
        <v>119</v>
      </c>
      <c r="F13" s="30" t="s">
        <v>120</v>
      </c>
      <c r="G13" s="30" t="s">
        <v>121</v>
      </c>
      <c r="H13" s="30" t="s">
        <v>122</v>
      </c>
      <c r="I13" s="30" t="s">
        <v>123</v>
      </c>
      <c r="J13" s="30" t="s">
        <v>124</v>
      </c>
      <c r="K13" s="30" t="s">
        <v>125</v>
      </c>
    </row>
    <row r="14" spans="1:11" ht="18" customHeight="1">
      <c r="B14" s="25">
        <v>1</v>
      </c>
      <c r="C14" s="25">
        <v>0</v>
      </c>
      <c r="D14" s="25"/>
      <c r="E14" s="25"/>
      <c r="F14" s="25"/>
      <c r="G14" s="25" t="str">
        <f ca="1">IFERROR(AVERAGE(D14:G14),"")</f>
        <v/>
      </c>
      <c r="H14" s="25"/>
      <c r="I14" s="25"/>
      <c r="J14" s="25"/>
      <c r="K14" s="19"/>
    </row>
    <row r="15" spans="1:11" ht="18" customHeight="1">
      <c r="B15" s="25">
        <v>2</v>
      </c>
      <c r="C15" s="25">
        <v>1</v>
      </c>
      <c r="D15" s="25"/>
      <c r="E15" s="25"/>
      <c r="F15" s="25"/>
      <c r="G15" s="25" t="str">
        <f ca="1">IFERROR(AVERAGE(D15:G15),"")</f>
        <v/>
      </c>
      <c r="H15" s="25"/>
      <c r="I15" s="25"/>
      <c r="J15" s="25"/>
      <c r="K15" s="19"/>
    </row>
    <row r="16" spans="1:11" ht="18" customHeight="1">
      <c r="B16" s="25">
        <v>3</v>
      </c>
      <c r="C16" s="25">
        <v>2</v>
      </c>
      <c r="D16" s="25"/>
      <c r="E16" s="25"/>
      <c r="F16" s="25"/>
      <c r="G16" s="25" t="str">
        <f ca="1">IFERROR(AVERAGE(D16:G16),"")</f>
        <v/>
      </c>
      <c r="H16" s="25"/>
      <c r="I16" s="25"/>
      <c r="J16" s="25"/>
      <c r="K16" s="19"/>
    </row>
    <row r="17" spans="2:11" ht="18" customHeight="1">
      <c r="B17" s="25">
        <v>4</v>
      </c>
      <c r="C17" s="25">
        <v>3</v>
      </c>
      <c r="D17" s="25"/>
      <c r="E17" s="25"/>
      <c r="F17" s="25"/>
      <c r="G17" s="25" t="str">
        <f ca="1">IFERROR(AVERAGE(D17:G17),"")</f>
        <v/>
      </c>
      <c r="H17" s="25"/>
      <c r="I17" s="25"/>
      <c r="J17" s="25"/>
      <c r="K17" s="19"/>
    </row>
    <row r="18" spans="2:11" ht="18" customHeight="1">
      <c r="B18" s="25">
        <v>5</v>
      </c>
      <c r="C18" s="25">
        <v>4</v>
      </c>
      <c r="D18" s="25"/>
      <c r="E18" s="25"/>
      <c r="F18" s="25"/>
      <c r="G18" s="25" t="str">
        <f ca="1">IFERROR(AVERAGE(D18:G18),"")</f>
        <v/>
      </c>
      <c r="H18" s="25"/>
      <c r="I18" s="25"/>
      <c r="J18" s="25"/>
      <c r="K18" s="19"/>
    </row>
    <row r="19" spans="2:11" ht="18" customHeight="1">
      <c r="B19" s="25">
        <v>6</v>
      </c>
      <c r="C19" s="25">
        <v>5</v>
      </c>
      <c r="D19" s="25"/>
      <c r="E19" s="25"/>
      <c r="F19" s="25"/>
      <c r="G19" s="25" t="str">
        <f ca="1">IFERROR(AVERAGE(D19:G19),"")</f>
        <v/>
      </c>
      <c r="H19" s="25"/>
      <c r="I19" s="25"/>
      <c r="J19" s="25"/>
      <c r="K19" s="19"/>
    </row>
    <row r="20" spans="2:11" ht="18" customHeight="1">
      <c r="B20" s="25">
        <v>7</v>
      </c>
      <c r="C20" s="25">
        <v>6</v>
      </c>
      <c r="D20" s="25"/>
      <c r="E20" s="25"/>
      <c r="F20" s="25"/>
      <c r="G20" s="25" t="str">
        <f ca="1">IFERROR(AVERAGE(D20:G20),"")</f>
        <v/>
      </c>
      <c r="H20" s="25"/>
      <c r="I20" s="25"/>
      <c r="J20" s="25"/>
      <c r="K20" s="19"/>
    </row>
    <row r="21" spans="2:11" ht="18" customHeight="1">
      <c r="B21" s="25">
        <v>8</v>
      </c>
      <c r="C21" s="25">
        <v>7</v>
      </c>
      <c r="D21" s="25"/>
      <c r="E21" s="25"/>
      <c r="F21" s="25"/>
      <c r="G21" s="25" t="str">
        <f ca="1">IFERROR(AVERAGE(D21:G21),"")</f>
        <v/>
      </c>
      <c r="H21" s="25"/>
      <c r="I21" s="25"/>
      <c r="J21" s="25"/>
      <c r="K21" s="19"/>
    </row>
    <row r="22" spans="2:11" ht="18" customHeight="1">
      <c r="B22" s="25">
        <v>9</v>
      </c>
      <c r="C22" s="25">
        <v>8</v>
      </c>
      <c r="D22" s="25"/>
      <c r="E22" s="25"/>
      <c r="F22" s="25"/>
      <c r="G22" s="25" t="str">
        <f ca="1">IFERROR(AVERAGE(D22:G22),"")</f>
        <v/>
      </c>
      <c r="H22" s="25"/>
      <c r="I22" s="25"/>
      <c r="J22" s="25"/>
      <c r="K22" s="19"/>
    </row>
    <row r="23" spans="2:11" ht="18" customHeight="1">
      <c r="B23" s="25">
        <v>10</v>
      </c>
      <c r="C23" s="25">
        <v>9</v>
      </c>
      <c r="D23" s="25"/>
      <c r="E23" s="25"/>
      <c r="F23" s="25"/>
      <c r="G23" s="25" t="str">
        <f ca="1">IFERROR(AVERAGE(D23:G23),"")</f>
        <v/>
      </c>
      <c r="H23" s="25"/>
      <c r="I23" s="25"/>
      <c r="J23" s="25"/>
      <c r="K23" s="19"/>
    </row>
    <row r="24" spans="2:11" ht="18" customHeight="1">
      <c r="B24" s="25">
        <v>11</v>
      </c>
      <c r="C24" s="25">
        <v>10</v>
      </c>
      <c r="D24" s="25"/>
      <c r="E24" s="25"/>
      <c r="F24" s="25"/>
      <c r="G24" s="25" t="str">
        <f ca="1">IFERROR(AVERAGE(D24:G24),"")</f>
        <v/>
      </c>
      <c r="H24" s="25"/>
      <c r="I24" s="25"/>
      <c r="J24" s="25"/>
      <c r="K24" s="19"/>
    </row>
    <row r="25" spans="2:11" ht="18" customHeight="1">
      <c r="B25" s="25">
        <v>12</v>
      </c>
      <c r="C25" s="25">
        <v>11</v>
      </c>
      <c r="D25" s="25"/>
      <c r="E25" s="25"/>
      <c r="F25" s="25"/>
      <c r="G25" s="25" t="str">
        <f ca="1">IFERROR(AVERAGE(D25:G25),"")</f>
        <v/>
      </c>
      <c r="H25" s="25"/>
      <c r="I25" s="25"/>
      <c r="J25" s="25"/>
      <c r="K25" s="19"/>
    </row>
    <row r="26" spans="2:11" ht="18" customHeight="1">
      <c r="B26" s="25">
        <v>13</v>
      </c>
      <c r="C26" s="25">
        <v>12</v>
      </c>
      <c r="D26" s="25"/>
      <c r="E26" s="25"/>
      <c r="F26" s="25"/>
      <c r="G26" s="25" t="str">
        <f ca="1">IFERROR(AVERAGE(D26:G26),"")</f>
        <v/>
      </c>
      <c r="H26" s="25"/>
      <c r="I26" s="25"/>
      <c r="J26" s="25"/>
      <c r="K26" s="19"/>
    </row>
    <row r="27" spans="2:11" ht="18" customHeight="1">
      <c r="B27" s="25">
        <v>14</v>
      </c>
      <c r="C27" s="25">
        <v>13</v>
      </c>
      <c r="D27" s="25"/>
      <c r="E27" s="25"/>
      <c r="F27" s="25"/>
      <c r="G27" s="25" t="str">
        <f ca="1">IFERROR(AVERAGE(D27:G27),"")</f>
        <v/>
      </c>
      <c r="H27" s="25"/>
      <c r="I27" s="25"/>
      <c r="J27" s="25"/>
      <c r="K27" s="19"/>
    </row>
    <row r="28" spans="2:11" ht="18" customHeight="1">
      <c r="B28" s="25">
        <v>15</v>
      </c>
      <c r="C28" s="25">
        <v>14</v>
      </c>
      <c r="D28" s="25"/>
      <c r="E28" s="25"/>
      <c r="F28" s="25"/>
      <c r="G28" s="25" t="str">
        <f ca="1">IFERROR(AVERAGE(D28:G28),"")</f>
        <v/>
      </c>
      <c r="H28" s="25"/>
      <c r="I28" s="25"/>
      <c r="J28" s="25"/>
      <c r="K28" s="19"/>
    </row>
    <row r="29" spans="2:11" ht="18" customHeight="1">
      <c r="B29" s="25">
        <v>16</v>
      </c>
      <c r="C29" s="25">
        <v>15</v>
      </c>
      <c r="D29" s="25"/>
      <c r="E29" s="25"/>
      <c r="F29" s="25"/>
      <c r="G29" s="25" t="str">
        <f ca="1">IFERROR(AVERAGE(D29:G29),"")</f>
        <v/>
      </c>
      <c r="H29" s="25"/>
      <c r="I29" s="25"/>
      <c r="J29" s="25"/>
      <c r="K29" s="19"/>
    </row>
    <row r="30" spans="2:11" ht="18" customHeight="1">
      <c r="B30" s="25">
        <v>17</v>
      </c>
      <c r="C30" s="25">
        <v>16</v>
      </c>
      <c r="D30" s="25"/>
      <c r="E30" s="25"/>
      <c r="F30" s="25"/>
      <c r="G30" s="25" t="str">
        <f ca="1">IFERROR(AVERAGE(D30:G30),"")</f>
        <v/>
      </c>
      <c r="H30" s="25"/>
      <c r="I30" s="25"/>
      <c r="J30" s="25"/>
      <c r="K30" s="19"/>
    </row>
    <row r="31" spans="2:11" ht="18" customHeight="1">
      <c r="B31" s="25">
        <v>18</v>
      </c>
      <c r="C31" s="25">
        <v>17</v>
      </c>
      <c r="D31" s="25"/>
      <c r="E31" s="25"/>
      <c r="F31" s="25"/>
      <c r="G31" s="25" t="str">
        <f ca="1">IFERROR(AVERAGE(D31:G31),"")</f>
        <v/>
      </c>
      <c r="H31" s="25"/>
      <c r="I31" s="25"/>
      <c r="J31" s="25"/>
      <c r="K31" s="19"/>
    </row>
    <row r="32" spans="2:11" ht="18" customHeight="1">
      <c r="B32" s="25">
        <v>19</v>
      </c>
      <c r="C32" s="25">
        <v>18</v>
      </c>
      <c r="D32" s="25"/>
      <c r="E32" s="25"/>
      <c r="F32" s="25"/>
      <c r="G32" s="25" t="str">
        <f ca="1">IFERROR(AVERAGE(D32:G32),"")</f>
        <v/>
      </c>
      <c r="H32" s="25"/>
      <c r="I32" s="25"/>
      <c r="J32" s="25"/>
      <c r="K32" s="19"/>
    </row>
    <row r="33" spans="2:11" ht="18" customHeight="1">
      <c r="B33" s="25">
        <v>20</v>
      </c>
      <c r="C33" s="25">
        <v>19</v>
      </c>
      <c r="D33" s="25"/>
      <c r="E33" s="25"/>
      <c r="F33" s="25"/>
      <c r="G33" s="25" t="str">
        <f ca="1">IFERROR(AVERAGE(D33:G33),"")</f>
        <v/>
      </c>
      <c r="H33" s="25"/>
      <c r="I33" s="25"/>
      <c r="J33" s="25"/>
      <c r="K33" s="19"/>
    </row>
    <row r="34" spans="2:11" ht="18" customHeight="1">
      <c r="B34" s="25">
        <v>21</v>
      </c>
      <c r="C34" s="25">
        <v>20</v>
      </c>
      <c r="D34" s="25"/>
      <c r="E34" s="25"/>
      <c r="F34" s="25"/>
      <c r="G34" s="25" t="str">
        <f ca="1">IFERROR(AVERAGE(D34:G34),"")</f>
        <v/>
      </c>
      <c r="H34" s="25"/>
      <c r="I34" s="25"/>
      <c r="J34" s="25"/>
      <c r="K34" s="19"/>
    </row>
    <row r="35" spans="2:11" ht="18" customHeight="1">
      <c r="B35" s="25">
        <v>22</v>
      </c>
      <c r="C35" s="25">
        <v>21</v>
      </c>
      <c r="D35" s="25"/>
      <c r="E35" s="25"/>
      <c r="F35" s="25"/>
      <c r="G35" s="25" t="str">
        <f ca="1">IFERROR(AVERAGE(D35:G35),"")</f>
        <v/>
      </c>
      <c r="H35" s="25"/>
      <c r="I35" s="25"/>
      <c r="J35" s="25"/>
      <c r="K35" s="19"/>
    </row>
    <row r="36" spans="2:11" ht="18" customHeight="1">
      <c r="B36" s="25">
        <v>23</v>
      </c>
      <c r="C36" s="25">
        <v>22</v>
      </c>
      <c r="D36" s="25"/>
      <c r="E36" s="25"/>
      <c r="F36" s="25"/>
      <c r="G36" s="25" t="str">
        <f ca="1">IFERROR(AVERAGE(D36:G36),"")</f>
        <v/>
      </c>
      <c r="H36" s="25"/>
      <c r="I36" s="25"/>
      <c r="J36" s="25"/>
      <c r="K36" s="19"/>
    </row>
    <row r="37" spans="2:11" ht="18" customHeight="1">
      <c r="B37" s="25">
        <v>24</v>
      </c>
      <c r="C37" s="25">
        <v>23</v>
      </c>
      <c r="D37" s="25"/>
      <c r="E37" s="25"/>
      <c r="F37" s="25"/>
      <c r="G37" s="25" t="str">
        <f ca="1">IFERROR(AVERAGE(D37:G37),"")</f>
        <v/>
      </c>
      <c r="H37" s="25"/>
      <c r="I37" s="25"/>
      <c r="J37" s="25"/>
      <c r="K37" s="19"/>
    </row>
    <row r="38" spans="2:11" ht="18" customHeight="1">
      <c r="B38" s="25">
        <v>25</v>
      </c>
      <c r="C38" s="25">
        <v>24</v>
      </c>
      <c r="D38" s="25"/>
      <c r="E38" s="25"/>
      <c r="F38" s="25"/>
      <c r="G38" s="25" t="str">
        <f ca="1">IFERROR(AVERAGE(D38:G38),"")</f>
        <v/>
      </c>
      <c r="H38" s="25"/>
      <c r="I38" s="25"/>
      <c r="J38" s="25"/>
      <c r="K38" s="19"/>
    </row>
    <row r="39" spans="2:11" ht="18" customHeight="1">
      <c r="B39" s="25">
        <v>26</v>
      </c>
      <c r="C39" s="25">
        <v>25</v>
      </c>
      <c r="D39" s="25"/>
      <c r="E39" s="25"/>
      <c r="F39" s="25"/>
      <c r="G39" s="25" t="str">
        <f ca="1">IFERROR(AVERAGE(D39:G39),"")</f>
        <v/>
      </c>
      <c r="H39" s="25"/>
      <c r="I39" s="25"/>
      <c r="J39" s="25"/>
      <c r="K39" s="19"/>
    </row>
    <row r="40" spans="2:11" ht="18" customHeight="1">
      <c r="B40" s="25">
        <v>27</v>
      </c>
      <c r="C40" s="25">
        <v>26</v>
      </c>
      <c r="D40" s="25"/>
      <c r="E40" s="25"/>
      <c r="F40" s="25"/>
      <c r="G40" s="25" t="str">
        <f ca="1">IFERROR(AVERAGE(D40:G40),"")</f>
        <v/>
      </c>
      <c r="H40" s="25"/>
      <c r="I40" s="25"/>
      <c r="J40" s="25"/>
      <c r="K40" s="19"/>
    </row>
    <row r="41" spans="2:11" ht="18" customHeight="1">
      <c r="B41" s="25">
        <v>28</v>
      </c>
      <c r="C41" s="25">
        <v>27</v>
      </c>
      <c r="D41" s="25"/>
      <c r="E41" s="25"/>
      <c r="F41" s="25"/>
      <c r="G41" s="25" t="str">
        <f ca="1">IFERROR(AVERAGE(D41:G41),"")</f>
        <v/>
      </c>
      <c r="H41" s="25"/>
      <c r="I41" s="25"/>
      <c r="J41" s="25"/>
      <c r="K41" s="19"/>
    </row>
    <row r="42" spans="2:11" ht="18" customHeight="1">
      <c r="B42" s="25">
        <v>29</v>
      </c>
      <c r="C42" s="25">
        <v>28</v>
      </c>
      <c r="D42" s="25"/>
      <c r="E42" s="25"/>
      <c r="F42" s="25"/>
      <c r="G42" s="25" t="str">
        <f ca="1">IFERROR(AVERAGE(D42:G42),"")</f>
        <v/>
      </c>
      <c r="H42" s="25"/>
      <c r="I42" s="25"/>
      <c r="J42" s="25"/>
      <c r="K42" s="19"/>
    </row>
    <row r="43" spans="2:11" ht="18" customHeight="1">
      <c r="B43" s="25">
        <v>30</v>
      </c>
      <c r="C43" s="25">
        <v>29</v>
      </c>
      <c r="D43" s="25"/>
      <c r="E43" s="25"/>
      <c r="F43" s="25"/>
      <c r="G43" s="25" t="str">
        <f ca="1">IFERROR(AVERAGE(D43:G43),"")</f>
        <v/>
      </c>
      <c r="H43" s="25"/>
      <c r="I43" s="25"/>
      <c r="J43" s="25"/>
      <c r="K43" s="19"/>
    </row>
    <row r="44" spans="2:11" ht="18" customHeight="1">
      <c r="B44" s="25">
        <v>31</v>
      </c>
      <c r="C44" s="25">
        <v>30</v>
      </c>
      <c r="D44" s="25"/>
      <c r="E44" s="25"/>
      <c r="F44" s="25"/>
      <c r="G44" s="25" t="str">
        <f ca="1">IFERROR(AVERAGE(D44:G44),"")</f>
        <v/>
      </c>
      <c r="H44" s="25"/>
      <c r="I44" s="25"/>
      <c r="J44" s="25"/>
      <c r="K44" s="19"/>
    </row>
    <row r="45" spans="2:11" ht="18" customHeight="1">
      <c r="B45" s="25">
        <v>32</v>
      </c>
      <c r="C45" s="25">
        <v>31</v>
      </c>
      <c r="D45" s="25"/>
      <c r="E45" s="25"/>
      <c r="F45" s="25"/>
      <c r="G45" s="25" t="str">
        <f ca="1">IFERROR(AVERAGE(D45:G45),"")</f>
        <v/>
      </c>
      <c r="H45" s="25"/>
      <c r="I45" s="25"/>
      <c r="J45" s="25"/>
      <c r="K45" s="19"/>
    </row>
    <row r="46" spans="2:11" ht="18" customHeight="1">
      <c r="B46" s="25">
        <v>33</v>
      </c>
      <c r="C46" s="25">
        <v>32</v>
      </c>
      <c r="D46" s="25"/>
      <c r="E46" s="25"/>
      <c r="F46" s="25"/>
      <c r="G46" s="25" t="str">
        <f ca="1">IFERROR(AVERAGE(D46:G46),"")</f>
        <v/>
      </c>
      <c r="H46" s="25"/>
      <c r="I46" s="25"/>
      <c r="J46" s="25"/>
      <c r="K46" s="19"/>
    </row>
    <row r="47" spans="2:11" ht="18" customHeight="1">
      <c r="B47" s="25">
        <v>34</v>
      </c>
      <c r="C47" s="25">
        <v>33</v>
      </c>
      <c r="D47" s="25"/>
      <c r="E47" s="25"/>
      <c r="F47" s="25"/>
      <c r="G47" s="25" t="str">
        <f ca="1">IFERROR(AVERAGE(D47:G47),"")</f>
        <v/>
      </c>
      <c r="H47" s="25"/>
      <c r="I47" s="25"/>
      <c r="J47" s="25"/>
      <c r="K47" s="19"/>
    </row>
    <row r="48" spans="2:11" ht="18" customHeight="1">
      <c r="B48" s="25">
        <v>35</v>
      </c>
      <c r="C48" s="25">
        <v>34</v>
      </c>
      <c r="D48" s="25"/>
      <c r="E48" s="25"/>
      <c r="F48" s="25"/>
      <c r="G48" s="25" t="str">
        <f ca="1">IFERROR(AVERAGE(D48:G48),"")</f>
        <v/>
      </c>
      <c r="H48" s="25"/>
      <c r="I48" s="25"/>
      <c r="J48" s="25"/>
      <c r="K48" s="19"/>
    </row>
    <row r="50" spans="1:11" ht="21.75" customHeight="1">
      <c r="B50" s="12" t="s">
        <v>126</v>
      </c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5.5" customHeight="1">
      <c r="B51" s="41" t="s">
        <v>127</v>
      </c>
      <c r="C51" s="41"/>
      <c r="D51" s="41" t="s">
        <v>128</v>
      </c>
      <c r="E51" s="41"/>
      <c r="F51" s="41" t="s">
        <v>108</v>
      </c>
      <c r="G51" s="41"/>
      <c r="H51" s="41" t="s">
        <v>53</v>
      </c>
      <c r="I51" s="41"/>
    </row>
    <row r="52" spans="1:11" ht="21.75" customHeight="1">
      <c r="B52" s="42" t="s">
        <v>129</v>
      </c>
      <c r="C52" s="42"/>
      <c r="D52" s="43"/>
      <c r="E52" s="43"/>
      <c r="F52" s="43">
        <f>$C$6</f>
        <v>0</v>
      </c>
      <c r="G52" s="43"/>
      <c r="H52" s="44"/>
      <c r="I52" s="44"/>
    </row>
    <row r="53" spans="1:11" ht="21.75" customHeight="1">
      <c r="B53" s="42" t="s">
        <v>130</v>
      </c>
      <c r="C53" s="42"/>
      <c r="D53" s="43" t="str">
        <f>IFERROR(AVERAGE(H14:H48),"")</f>
        <v/>
      </c>
      <c r="E53" s="43"/>
      <c r="F53" s="43">
        <f>$C$5</f>
        <v>0</v>
      </c>
      <c r="G53" s="43"/>
      <c r="H53" s="44"/>
      <c r="I53" s="44"/>
    </row>
    <row r="54" spans="1:11" ht="21.75" customHeight="1">
      <c r="B54" s="42" t="s">
        <v>131</v>
      </c>
      <c r="C54" s="42"/>
      <c r="D54" s="43"/>
      <c r="E54" s="43"/>
      <c r="F54" s="43">
        <f>$C$7</f>
        <v>0</v>
      </c>
      <c r="G54" s="43"/>
      <c r="H54" s="44"/>
      <c r="I54" s="44"/>
    </row>
    <row r="55" spans="1:11" ht="21.75" customHeight="1">
      <c r="B55" s="42" t="s">
        <v>132</v>
      </c>
      <c r="C55" s="42"/>
      <c r="D55" s="43"/>
      <c r="E55" s="43"/>
      <c r="F55" s="43">
        <f>$C$9</f>
        <v>0</v>
      </c>
      <c r="G55" s="43"/>
      <c r="H55" s="44"/>
      <c r="I55" s="44"/>
    </row>
    <row r="56" spans="1:11" ht="21.75" customHeight="1">
      <c r="B56" s="42" t="s">
        <v>133</v>
      </c>
      <c r="C56" s="42"/>
      <c r="D56" s="43" t="str">
        <f>IFERROR(INDEX(J14:J48,MATCH(9.99E+307,J14:J48))-INDEX(J14:J48,MATCH(TRUE(),ISNUMBER(J14:J48),0)),"")</f>
        <v/>
      </c>
      <c r="E56" s="43"/>
      <c r="F56" s="43">
        <f>$C$10</f>
        <v>0</v>
      </c>
      <c r="G56" s="43"/>
      <c r="H56" s="44"/>
      <c r="I56" s="44"/>
    </row>
    <row r="58" spans="1:11" ht="21.75" customHeight="1">
      <c r="B58" s="11" t="s">
        <v>134</v>
      </c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31.5" customHeight="1">
      <c r="A59" s="23" t="s">
        <v>78</v>
      </c>
      <c r="B59" s="33" t="s">
        <v>135</v>
      </c>
      <c r="C59" s="33" t="s">
        <v>136</v>
      </c>
      <c r="D59" s="33" t="s">
        <v>137</v>
      </c>
      <c r="E59" s="33" t="s">
        <v>138</v>
      </c>
      <c r="F59" s="33" t="s">
        <v>139</v>
      </c>
      <c r="G59" s="34"/>
      <c r="H59" s="35"/>
      <c r="I59" s="35"/>
      <c r="J59" s="35"/>
      <c r="K59" s="35"/>
    </row>
    <row r="60" spans="1:11" ht="24" customHeight="1">
      <c r="B60" s="25">
        <v>1</v>
      </c>
      <c r="C60" s="25"/>
      <c r="D60" s="19"/>
      <c r="E60" s="19"/>
      <c r="F60" s="25"/>
      <c r="G60" s="19"/>
      <c r="H60" s="19"/>
      <c r="I60" s="19"/>
      <c r="J60" s="19"/>
      <c r="K60" s="19"/>
    </row>
    <row r="61" spans="1:11" ht="24" customHeight="1">
      <c r="B61" s="25">
        <v>2</v>
      </c>
      <c r="C61" s="25"/>
      <c r="D61" s="19"/>
      <c r="E61" s="19"/>
      <c r="F61" s="25"/>
      <c r="G61" s="19"/>
      <c r="H61" s="19"/>
      <c r="I61" s="19"/>
      <c r="J61" s="19"/>
      <c r="K61" s="19"/>
    </row>
    <row r="62" spans="1:11" ht="24" customHeight="1">
      <c r="B62" s="25">
        <v>3</v>
      </c>
      <c r="C62" s="25"/>
      <c r="D62" s="19"/>
      <c r="E62" s="19"/>
      <c r="F62" s="25"/>
      <c r="G62" s="19"/>
      <c r="H62" s="19"/>
      <c r="I62" s="19"/>
      <c r="J62" s="19"/>
      <c r="K62" s="19"/>
    </row>
    <row r="63" spans="1:11" ht="24" customHeight="1">
      <c r="B63" s="25">
        <v>4</v>
      </c>
      <c r="C63" s="25"/>
      <c r="D63" s="19"/>
      <c r="E63" s="19"/>
      <c r="F63" s="25"/>
      <c r="G63" s="19"/>
      <c r="H63" s="19"/>
      <c r="I63" s="19"/>
      <c r="J63" s="19"/>
      <c r="K63" s="19"/>
    </row>
    <row r="64" spans="1:11" ht="24" customHeight="1">
      <c r="B64" s="25">
        <v>5</v>
      </c>
      <c r="C64" s="25"/>
      <c r="D64" s="19"/>
      <c r="E64" s="19"/>
      <c r="F64" s="25"/>
      <c r="G64" s="19"/>
      <c r="H64" s="19"/>
      <c r="I64" s="19"/>
      <c r="J64" s="19"/>
      <c r="K64" s="19"/>
    </row>
  </sheetData>
  <mergeCells count="29">
    <mergeCell ref="B56:C56"/>
    <mergeCell ref="D56:E56"/>
    <mergeCell ref="F56:G56"/>
    <mergeCell ref="H56:I56"/>
    <mergeCell ref="B58:K58"/>
    <mergeCell ref="B54:C54"/>
    <mergeCell ref="D54:E54"/>
    <mergeCell ref="F54:G54"/>
    <mergeCell ref="H54:I54"/>
    <mergeCell ref="B55:C55"/>
    <mergeCell ref="D55:E55"/>
    <mergeCell ref="F55:G55"/>
    <mergeCell ref="H55:I55"/>
    <mergeCell ref="B52:C52"/>
    <mergeCell ref="D52:E52"/>
    <mergeCell ref="F52:G52"/>
    <mergeCell ref="H52:I52"/>
    <mergeCell ref="B53:C53"/>
    <mergeCell ref="D53:E53"/>
    <mergeCell ref="F53:G53"/>
    <mergeCell ref="H53:I53"/>
    <mergeCell ref="B1:K1"/>
    <mergeCell ref="B3:K3"/>
    <mergeCell ref="B12:K12"/>
    <mergeCell ref="B50:K50"/>
    <mergeCell ref="B51:C51"/>
    <mergeCell ref="D51:E51"/>
    <mergeCell ref="F51:G51"/>
    <mergeCell ref="H51:I5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G27"/>
  <sheetViews>
    <sheetView showGridLines="0" zoomScaleNormal="100" workbookViewId="0">
      <pane ySplit="3" topLeftCell="A4" activePane="bottomLeft" state="frozen"/>
      <selection pane="bottomLeft" activeCell="B11" sqref="B11"/>
    </sheetView>
  </sheetViews>
  <sheetFormatPr defaultColWidth="8.7109375" defaultRowHeight="15"/>
  <cols>
    <col min="1" max="1" width="4" customWidth="1"/>
    <col min="2" max="2" width="26" customWidth="1"/>
    <col min="3" max="6" width="16" customWidth="1"/>
    <col min="7" max="7" width="32" customWidth="1"/>
  </cols>
  <sheetData>
    <row r="1" spans="1:7" ht="33.75" customHeight="1">
      <c r="B1" s="14" t="s">
        <v>140</v>
      </c>
      <c r="C1" s="14"/>
      <c r="D1" s="14"/>
      <c r="E1" s="14"/>
      <c r="F1" s="14"/>
      <c r="G1" s="14"/>
    </row>
    <row r="3" spans="1:7" ht="21.75" customHeight="1">
      <c r="B3" s="13" t="s">
        <v>141</v>
      </c>
      <c r="C3" s="13"/>
      <c r="D3" s="13"/>
      <c r="E3" s="13"/>
      <c r="F3" s="13"/>
      <c r="G3" s="13"/>
    </row>
    <row r="4" spans="1:7" ht="24" customHeight="1">
      <c r="B4" s="31" t="s">
        <v>107</v>
      </c>
      <c r="C4" s="31" t="s">
        <v>108</v>
      </c>
      <c r="D4" s="32"/>
      <c r="E4" s="32"/>
      <c r="F4" s="32"/>
      <c r="G4" s="32"/>
    </row>
    <row r="5" spans="1:7" ht="19.5" customHeight="1">
      <c r="B5" s="20" t="s">
        <v>142</v>
      </c>
      <c r="C5" s="25"/>
      <c r="D5" s="32"/>
      <c r="E5" s="32"/>
      <c r="F5" s="32"/>
      <c r="G5" s="32"/>
    </row>
    <row r="6" spans="1:7" ht="19.5" customHeight="1">
      <c r="B6" s="20" t="s">
        <v>143</v>
      </c>
      <c r="C6" s="25"/>
      <c r="D6" s="32"/>
      <c r="E6" s="32"/>
      <c r="F6" s="32"/>
      <c r="G6" s="32"/>
    </row>
    <row r="7" spans="1:7" ht="19.5" customHeight="1">
      <c r="B7" s="20" t="s">
        <v>144</v>
      </c>
      <c r="C7" s="25"/>
      <c r="D7" s="32"/>
      <c r="E7" s="32"/>
      <c r="F7" s="32"/>
      <c r="G7" s="32"/>
    </row>
    <row r="8" spans="1:7" ht="19.5" customHeight="1">
      <c r="B8" s="20" t="s">
        <v>145</v>
      </c>
      <c r="C8" s="25"/>
      <c r="D8" s="32"/>
      <c r="E8" s="32"/>
      <c r="F8" s="32"/>
      <c r="G8" s="32"/>
    </row>
    <row r="9" spans="1:7" ht="19.5" customHeight="1">
      <c r="B9" s="20" t="s">
        <v>146</v>
      </c>
      <c r="C9" s="25"/>
      <c r="D9" s="32"/>
      <c r="E9" s="32"/>
      <c r="F9" s="32"/>
      <c r="G9" s="32"/>
    </row>
    <row r="11" spans="1:7" ht="21.75" customHeight="1">
      <c r="B11" s="12" t="s">
        <v>147</v>
      </c>
      <c r="C11" s="12"/>
      <c r="D11" s="12"/>
      <c r="E11" s="12"/>
      <c r="F11" s="12"/>
      <c r="G11" s="12"/>
    </row>
    <row r="12" spans="1:7" ht="31.5" customHeight="1">
      <c r="A12" s="23" t="s">
        <v>78</v>
      </c>
      <c r="B12" s="30" t="s">
        <v>148</v>
      </c>
      <c r="C12" s="30" t="s">
        <v>149</v>
      </c>
      <c r="D12" s="30" t="s">
        <v>150</v>
      </c>
      <c r="E12" s="30" t="s">
        <v>151</v>
      </c>
      <c r="F12" s="30" t="s">
        <v>152</v>
      </c>
      <c r="G12" s="30" t="s">
        <v>153</v>
      </c>
    </row>
    <row r="13" spans="1:7" ht="24" customHeight="1">
      <c r="B13" s="25">
        <v>1</v>
      </c>
      <c r="C13" s="19" t="s">
        <v>154</v>
      </c>
      <c r="D13" s="25"/>
      <c r="E13" s="25"/>
      <c r="F13" s="25"/>
      <c r="G13" s="19"/>
    </row>
    <row r="14" spans="1:7" ht="24" customHeight="1">
      <c r="B14" s="25">
        <v>2</v>
      </c>
      <c r="C14" s="19" t="s">
        <v>155</v>
      </c>
      <c r="D14" s="25"/>
      <c r="E14" s="25"/>
      <c r="F14" s="25"/>
      <c r="G14" s="19"/>
    </row>
    <row r="15" spans="1:7" ht="24" customHeight="1">
      <c r="B15" s="25">
        <v>3</v>
      </c>
      <c r="C15" s="19" t="s">
        <v>156</v>
      </c>
      <c r="D15" s="25"/>
      <c r="E15" s="25"/>
      <c r="F15" s="25"/>
      <c r="G15" s="19"/>
    </row>
    <row r="16" spans="1:7" ht="24" customHeight="1">
      <c r="B16" s="25">
        <v>4</v>
      </c>
      <c r="C16" s="19" t="s">
        <v>157</v>
      </c>
      <c r="D16" s="25"/>
      <c r="E16" s="25"/>
      <c r="F16" s="25"/>
      <c r="G16" s="19"/>
    </row>
    <row r="17" spans="1:7" ht="24" customHeight="1">
      <c r="B17" s="25">
        <v>5</v>
      </c>
      <c r="C17" s="19" t="s">
        <v>158</v>
      </c>
      <c r="D17" s="25"/>
      <c r="E17" s="25"/>
      <c r="F17" s="25"/>
      <c r="G17" s="19"/>
    </row>
    <row r="18" spans="1:7" ht="24" customHeight="1">
      <c r="B18" s="25">
        <v>6</v>
      </c>
      <c r="C18" s="19" t="s">
        <v>159</v>
      </c>
      <c r="D18" s="25"/>
      <c r="E18" s="25"/>
      <c r="F18" s="25"/>
      <c r="G18" s="19"/>
    </row>
    <row r="20" spans="1:7" ht="21.75" customHeight="1">
      <c r="B20" s="36"/>
      <c r="C20" s="18" t="s">
        <v>160</v>
      </c>
      <c r="D20" s="37" t="str">
        <f>IFERROR(AVERAGE(D13:D18),"")</f>
        <v/>
      </c>
      <c r="E20" s="37" t="str">
        <f>IFERROR(AVERAGE(E13:E18),"")</f>
        <v/>
      </c>
      <c r="F20" s="37" t="str">
        <f>IFERROR(AVERAGE(F13:F18),"")</f>
        <v/>
      </c>
      <c r="G20" s="38"/>
    </row>
    <row r="22" spans="1:7" ht="21.75" customHeight="1">
      <c r="B22" s="12" t="s">
        <v>161</v>
      </c>
      <c r="C22" s="12"/>
      <c r="D22" s="12"/>
      <c r="E22" s="12"/>
      <c r="F22" s="12"/>
      <c r="G22" s="12"/>
    </row>
    <row r="23" spans="1:7" ht="31.5" customHeight="1">
      <c r="A23" s="23" t="s">
        <v>78</v>
      </c>
      <c r="B23" s="30" t="s">
        <v>162</v>
      </c>
      <c r="C23" s="30" t="s">
        <v>163</v>
      </c>
      <c r="D23" s="30" t="s">
        <v>164</v>
      </c>
      <c r="E23" s="30" t="s">
        <v>165</v>
      </c>
      <c r="F23" s="30" t="s">
        <v>166</v>
      </c>
      <c r="G23" s="30" t="s">
        <v>153</v>
      </c>
    </row>
    <row r="24" spans="1:7" ht="24" customHeight="1">
      <c r="B24" s="25">
        <v>1</v>
      </c>
      <c r="C24" s="19" t="s">
        <v>167</v>
      </c>
      <c r="D24" s="25"/>
      <c r="E24" s="25"/>
      <c r="F24" s="25" t="str">
        <f>IFERROR(D24-C24,"")</f>
        <v/>
      </c>
      <c r="G24" s="25"/>
    </row>
    <row r="25" spans="1:7" ht="24" customHeight="1">
      <c r="B25" s="25">
        <v>2</v>
      </c>
      <c r="C25" s="19" t="s">
        <v>168</v>
      </c>
      <c r="D25" s="25"/>
      <c r="E25" s="25"/>
      <c r="F25" s="25" t="str">
        <f>IFERROR(D25-C25,"")</f>
        <v/>
      </c>
      <c r="G25" s="25"/>
    </row>
    <row r="26" spans="1:7" ht="24" customHeight="1">
      <c r="B26" s="25">
        <v>3</v>
      </c>
      <c r="C26" s="19" t="s">
        <v>169</v>
      </c>
      <c r="D26" s="25"/>
      <c r="E26" s="25"/>
      <c r="F26" s="25" t="str">
        <f>IFERROR(D26-C26,"")</f>
        <v/>
      </c>
      <c r="G26" s="25"/>
    </row>
    <row r="27" spans="1:7" ht="24" customHeight="1">
      <c r="B27" s="25">
        <v>4</v>
      </c>
      <c r="C27" s="19" t="s">
        <v>170</v>
      </c>
      <c r="D27" s="25"/>
      <c r="E27" s="25"/>
      <c r="F27" s="25" t="str">
        <f>IFERROR(D27-C27,"")</f>
        <v/>
      </c>
      <c r="G27" s="25"/>
    </row>
  </sheetData>
  <mergeCells count="4">
    <mergeCell ref="B1:G1"/>
    <mergeCell ref="B3:G3"/>
    <mergeCell ref="B11:G11"/>
    <mergeCell ref="B22:G22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I31"/>
  <sheetViews>
    <sheetView showGridLines="0" zoomScaleNormal="100" workbookViewId="0">
      <pane ySplit="3" topLeftCell="A4" activePane="bottomLeft" state="frozen"/>
      <selection pane="bottomLeft" activeCell="F13" sqref="F13"/>
    </sheetView>
  </sheetViews>
  <sheetFormatPr defaultColWidth="8.7109375" defaultRowHeight="15"/>
  <cols>
    <col min="1" max="1" width="4" customWidth="1"/>
    <col min="2" max="2" width="22.7109375" customWidth="1"/>
    <col min="3" max="8" width="14" customWidth="1"/>
    <col min="9" max="9" width="28" customWidth="1"/>
  </cols>
  <sheetData>
    <row r="1" spans="1:9" ht="33.75" customHeight="1">
      <c r="B1" s="14" t="s">
        <v>171</v>
      </c>
      <c r="C1" s="14"/>
      <c r="D1" s="14"/>
      <c r="E1" s="14"/>
      <c r="F1" s="14"/>
      <c r="G1" s="14"/>
      <c r="H1" s="14"/>
      <c r="I1" s="14"/>
    </row>
    <row r="3" spans="1:9" ht="21.75" customHeight="1">
      <c r="B3" s="13" t="s">
        <v>141</v>
      </c>
      <c r="C3" s="13"/>
      <c r="D3" s="13"/>
      <c r="E3" s="13"/>
      <c r="F3" s="13"/>
      <c r="G3" s="13"/>
      <c r="H3" s="13"/>
      <c r="I3" s="13"/>
    </row>
    <row r="4" spans="1:9" ht="24" customHeight="1">
      <c r="B4" s="31" t="s">
        <v>107</v>
      </c>
      <c r="C4" s="31" t="s">
        <v>108</v>
      </c>
      <c r="D4" s="32"/>
      <c r="E4" s="32"/>
      <c r="F4" s="32"/>
      <c r="G4" s="32"/>
      <c r="H4" s="32"/>
      <c r="I4" s="32"/>
    </row>
    <row r="5" spans="1:9" ht="27.6" customHeight="1">
      <c r="B5" s="20" t="s">
        <v>172</v>
      </c>
      <c r="C5" s="25"/>
      <c r="D5" s="32"/>
      <c r="E5" s="32"/>
      <c r="F5" s="32"/>
      <c r="G5" s="32"/>
      <c r="H5" s="32"/>
      <c r="I5" s="32"/>
    </row>
    <row r="6" spans="1:9" ht="26.1" customHeight="1">
      <c r="B6" s="20" t="s">
        <v>173</v>
      </c>
      <c r="C6" s="25"/>
      <c r="D6" s="32"/>
      <c r="E6" s="32"/>
      <c r="F6" s="32"/>
      <c r="G6" s="32"/>
      <c r="H6" s="32"/>
      <c r="I6" s="32"/>
    </row>
    <row r="7" spans="1:9" ht="26.1" customHeight="1">
      <c r="B7" s="20" t="s">
        <v>174</v>
      </c>
      <c r="C7" s="25"/>
      <c r="D7" s="32"/>
      <c r="E7" s="32"/>
      <c r="F7" s="32"/>
      <c r="G7" s="32"/>
      <c r="H7" s="32"/>
      <c r="I7" s="32"/>
    </row>
    <row r="8" spans="1:9" ht="19.5" customHeight="1">
      <c r="B8" s="20" t="s">
        <v>175</v>
      </c>
      <c r="C8" s="25"/>
      <c r="D8" s="32"/>
      <c r="E8" s="32"/>
      <c r="F8" s="32"/>
      <c r="G8" s="32"/>
      <c r="H8" s="32"/>
      <c r="I8" s="32"/>
    </row>
    <row r="9" spans="1:9" ht="19.5" customHeight="1">
      <c r="B9" s="20" t="s">
        <v>176</v>
      </c>
      <c r="C9" s="25"/>
      <c r="D9" s="32"/>
      <c r="E9" s="32"/>
      <c r="F9" s="32"/>
      <c r="G9" s="32"/>
      <c r="H9" s="32"/>
      <c r="I9" s="32"/>
    </row>
    <row r="10" spans="1:9" ht="19.5" customHeight="1">
      <c r="B10" s="20" t="s">
        <v>177</v>
      </c>
      <c r="C10" s="25"/>
      <c r="D10" s="32"/>
      <c r="E10" s="32"/>
      <c r="F10" s="32"/>
      <c r="G10" s="32"/>
      <c r="H10" s="32"/>
      <c r="I10" s="32"/>
    </row>
    <row r="12" spans="1:9" ht="21.75" customHeight="1">
      <c r="B12" s="12" t="s">
        <v>178</v>
      </c>
      <c r="C12" s="12"/>
      <c r="D12" s="12"/>
      <c r="E12" s="12"/>
      <c r="F12" s="12"/>
      <c r="G12" s="12"/>
      <c r="H12" s="12"/>
      <c r="I12" s="12"/>
    </row>
    <row r="13" spans="1:9" ht="31.5" customHeight="1">
      <c r="A13" s="23" t="s">
        <v>78</v>
      </c>
      <c r="B13" s="30" t="s">
        <v>116</v>
      </c>
      <c r="C13" s="30" t="s">
        <v>179</v>
      </c>
      <c r="D13" s="30" t="s">
        <v>180</v>
      </c>
      <c r="E13" s="30" t="s">
        <v>181</v>
      </c>
      <c r="F13" s="30" t="s">
        <v>182</v>
      </c>
      <c r="G13" s="30" t="s">
        <v>183</v>
      </c>
      <c r="H13" s="30" t="s">
        <v>184</v>
      </c>
      <c r="I13" s="30" t="s">
        <v>153</v>
      </c>
    </row>
    <row r="14" spans="1:9" ht="21.75" customHeight="1">
      <c r="B14" s="25">
        <v>1</v>
      </c>
      <c r="C14" s="25">
        <v>0</v>
      </c>
      <c r="D14" s="25"/>
      <c r="E14" s="25"/>
      <c r="F14" s="25"/>
      <c r="G14" s="25"/>
      <c r="H14" s="25"/>
      <c r="I14" s="19"/>
    </row>
    <row r="15" spans="1:9" ht="21.75" customHeight="1">
      <c r="B15" s="25">
        <v>2</v>
      </c>
      <c r="C15" s="25">
        <v>5</v>
      </c>
      <c r="D15" s="25"/>
      <c r="E15" s="25"/>
      <c r="F15" s="25"/>
      <c r="G15" s="25"/>
      <c r="H15" s="25"/>
      <c r="I15" s="19"/>
    </row>
    <row r="16" spans="1:9" ht="21.75" customHeight="1">
      <c r="B16" s="25">
        <v>3</v>
      </c>
      <c r="C16" s="25">
        <v>10</v>
      </c>
      <c r="D16" s="25"/>
      <c r="E16" s="25"/>
      <c r="F16" s="25"/>
      <c r="G16" s="25"/>
      <c r="H16" s="25"/>
      <c r="I16" s="19"/>
    </row>
    <row r="17" spans="1:9" ht="21.75" customHeight="1">
      <c r="B17" s="25">
        <v>4</v>
      </c>
      <c r="C17" s="25">
        <v>15</v>
      </c>
      <c r="D17" s="25"/>
      <c r="E17" s="25"/>
      <c r="F17" s="25"/>
      <c r="G17" s="25"/>
      <c r="H17" s="25"/>
      <c r="I17" s="19"/>
    </row>
    <row r="18" spans="1:9" ht="21.75" customHeight="1">
      <c r="B18" s="25">
        <v>5</v>
      </c>
      <c r="C18" s="25">
        <v>20</v>
      </c>
      <c r="D18" s="25"/>
      <c r="E18" s="25"/>
      <c r="F18" s="25"/>
      <c r="G18" s="25"/>
      <c r="H18" s="25"/>
      <c r="I18" s="19"/>
    </row>
    <row r="19" spans="1:9" ht="21.75" customHeight="1">
      <c r="B19" s="25">
        <v>6</v>
      </c>
      <c r="C19" s="25">
        <v>25</v>
      </c>
      <c r="D19" s="25"/>
      <c r="E19" s="25"/>
      <c r="F19" s="25"/>
      <c r="G19" s="25"/>
      <c r="H19" s="25"/>
      <c r="I19" s="19"/>
    </row>
    <row r="20" spans="1:9" ht="21.75" customHeight="1">
      <c r="B20" s="25">
        <v>7</v>
      </c>
      <c r="C20" s="25">
        <v>30</v>
      </c>
      <c r="D20" s="25"/>
      <c r="E20" s="25"/>
      <c r="F20" s="25"/>
      <c r="G20" s="25"/>
      <c r="H20" s="25"/>
      <c r="I20" s="19"/>
    </row>
    <row r="22" spans="1:9" ht="21.75" customHeight="1">
      <c r="B22" s="39" t="s">
        <v>185</v>
      </c>
      <c r="C22" s="37" t="s">
        <v>186</v>
      </c>
      <c r="D22" s="37" t="str">
        <f>IFERROR(AVERAGE(D14:D20),"")</f>
        <v/>
      </c>
      <c r="E22" s="37" t="str">
        <f>IFERROR(AVERAGE(E14:E20),"")</f>
        <v/>
      </c>
      <c r="F22" s="37" t="str">
        <f>IFERROR(AVERAGE(F14:F20),"")</f>
        <v/>
      </c>
      <c r="G22" s="37" t="str">
        <f>IFERROR(AVERAGE(G14:G20),"")</f>
        <v/>
      </c>
      <c r="H22" s="37" t="str">
        <f>IFERROR(AVERAGE(H14:H20),"")</f>
        <v/>
      </c>
      <c r="I22" s="38"/>
    </row>
    <row r="23" spans="1:9" ht="21.75" customHeight="1">
      <c r="B23" s="38"/>
      <c r="C23" s="37" t="s">
        <v>187</v>
      </c>
      <c r="D23" s="37">
        <f>IFERROR(MIN(D14:D21),"")</f>
        <v>0</v>
      </c>
      <c r="E23" s="37">
        <f>IFERROR(MIN(E14:E21),"")</f>
        <v>0</v>
      </c>
      <c r="F23" s="37">
        <f>IFERROR(MAX(F14:F21),"")</f>
        <v>0</v>
      </c>
      <c r="G23" s="37">
        <f>IFERROR(MAX(G14:G21),"")</f>
        <v>0</v>
      </c>
      <c r="H23" s="37">
        <f>IFERROR(MAX(H14:H21),"")</f>
        <v>0</v>
      </c>
      <c r="I23" s="38"/>
    </row>
    <row r="25" spans="1:9" ht="21.75" customHeight="1">
      <c r="B25" s="11" t="s">
        <v>188</v>
      </c>
      <c r="C25" s="11"/>
      <c r="D25" s="11"/>
      <c r="E25" s="11"/>
      <c r="F25" s="11"/>
      <c r="G25" s="11"/>
      <c r="H25" s="11"/>
      <c r="I25" s="11"/>
    </row>
    <row r="26" spans="1:9" ht="31.5" customHeight="1">
      <c r="A26" s="23" t="s">
        <v>78</v>
      </c>
      <c r="B26" s="40" t="s">
        <v>189</v>
      </c>
      <c r="C26" s="40" t="s">
        <v>190</v>
      </c>
      <c r="D26" s="40" t="s">
        <v>191</v>
      </c>
      <c r="E26" s="40" t="s">
        <v>192</v>
      </c>
      <c r="F26" s="40" t="s">
        <v>193</v>
      </c>
      <c r="G26" s="40" t="s">
        <v>194</v>
      </c>
      <c r="H26" s="40" t="s">
        <v>195</v>
      </c>
      <c r="I26" s="40" t="s">
        <v>153</v>
      </c>
    </row>
    <row r="27" spans="1:9" ht="24" customHeight="1">
      <c r="B27" s="25">
        <v>1</v>
      </c>
      <c r="C27" s="25"/>
      <c r="D27" s="25"/>
      <c r="E27" s="25"/>
      <c r="F27" s="25"/>
      <c r="G27" s="25"/>
      <c r="H27" s="25"/>
      <c r="I27" s="19"/>
    </row>
    <row r="28" spans="1:9" ht="24" customHeight="1">
      <c r="B28" s="25">
        <v>2</v>
      </c>
      <c r="C28" s="25"/>
      <c r="D28" s="25"/>
      <c r="E28" s="25"/>
      <c r="F28" s="25"/>
      <c r="G28" s="25"/>
      <c r="H28" s="25"/>
      <c r="I28" s="19"/>
    </row>
    <row r="29" spans="1:9" ht="24" customHeight="1">
      <c r="B29" s="25">
        <v>3</v>
      </c>
      <c r="C29" s="25"/>
      <c r="D29" s="25"/>
      <c r="E29" s="25"/>
      <c r="F29" s="25"/>
      <c r="G29" s="25"/>
      <c r="H29" s="25"/>
      <c r="I29" s="19"/>
    </row>
    <row r="30" spans="1:9" ht="24" customHeight="1">
      <c r="B30" s="25">
        <v>4</v>
      </c>
      <c r="C30" s="25"/>
      <c r="D30" s="25"/>
      <c r="E30" s="25"/>
      <c r="F30" s="25"/>
      <c r="G30" s="25"/>
      <c r="H30" s="25"/>
      <c r="I30" s="19"/>
    </row>
    <row r="31" spans="1:9" ht="24" customHeight="1">
      <c r="B31" s="25">
        <v>5</v>
      </c>
      <c r="C31" s="25"/>
      <c r="D31" s="25"/>
      <c r="E31" s="25"/>
      <c r="F31" s="25"/>
      <c r="G31" s="25"/>
      <c r="H31" s="25"/>
      <c r="I31" s="19"/>
    </row>
  </sheetData>
  <mergeCells count="4">
    <mergeCell ref="B1:I1"/>
    <mergeCell ref="B3:I3"/>
    <mergeCell ref="B12:I12"/>
    <mergeCell ref="B25:I25"/>
  </mergeCells>
  <dataValidations count="1">
    <dataValidation type="list" allowBlank="1" sqref="G27:G31" xr:uid="{00000000-0002-0000-0500-000000000000}">
      <formula1>"Yes,No"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A1:I44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defaultColWidth="8.7109375" defaultRowHeight="15"/>
  <cols>
    <col min="1" max="1" width="4" customWidth="1"/>
    <col min="2" max="2" width="35.42578125" customWidth="1"/>
    <col min="3" max="7" width="14" customWidth="1"/>
    <col min="8" max="8" width="16" customWidth="1"/>
    <col min="9" max="9" width="22" customWidth="1"/>
  </cols>
  <sheetData>
    <row r="1" spans="2:9" ht="33.75" customHeight="1">
      <c r="B1" s="14" t="s">
        <v>196</v>
      </c>
      <c r="C1" s="14"/>
      <c r="D1" s="14"/>
      <c r="E1" s="14"/>
      <c r="F1" s="14"/>
      <c r="G1" s="14"/>
      <c r="H1" s="14"/>
      <c r="I1" s="14"/>
    </row>
    <row r="3" spans="2:9" ht="21.75" customHeight="1">
      <c r="B3" s="12" t="s">
        <v>197</v>
      </c>
      <c r="C3" s="12"/>
      <c r="D3" s="12"/>
      <c r="E3" s="12"/>
      <c r="F3" s="12"/>
      <c r="G3" s="12"/>
      <c r="H3" s="12"/>
      <c r="I3" s="12"/>
    </row>
    <row r="4" spans="2:9" ht="21.75" customHeight="1">
      <c r="B4" s="15" t="s">
        <v>198</v>
      </c>
      <c r="C4" s="5"/>
      <c r="D4" s="5"/>
      <c r="E4" s="5"/>
      <c r="F4" s="5"/>
      <c r="G4" s="5"/>
      <c r="H4" s="5"/>
      <c r="I4" s="5"/>
    </row>
    <row r="5" spans="2:9" ht="21.75" customHeight="1">
      <c r="B5" s="15" t="s">
        <v>199</v>
      </c>
      <c r="C5" s="5"/>
      <c r="D5" s="5"/>
      <c r="E5" s="5"/>
      <c r="F5" s="5"/>
      <c r="G5" s="5"/>
      <c r="H5" s="5"/>
      <c r="I5" s="5"/>
    </row>
    <row r="6" spans="2:9" ht="21.75" customHeight="1">
      <c r="B6" s="15" t="s">
        <v>200</v>
      </c>
      <c r="C6" s="5"/>
      <c r="D6" s="5"/>
      <c r="E6" s="5"/>
      <c r="F6" s="5"/>
      <c r="G6" s="5"/>
      <c r="H6" s="5"/>
      <c r="I6" s="5"/>
    </row>
    <row r="7" spans="2:9" ht="21.75" customHeight="1">
      <c r="B7" s="15" t="s">
        <v>201</v>
      </c>
      <c r="C7" s="5"/>
      <c r="D7" s="5"/>
      <c r="E7" s="5"/>
      <c r="F7" s="5"/>
      <c r="G7" s="5"/>
      <c r="H7" s="5"/>
      <c r="I7" s="5"/>
    </row>
    <row r="8" spans="2:9" ht="21.75" customHeight="1">
      <c r="B8" s="15" t="s">
        <v>202</v>
      </c>
      <c r="C8" s="5" t="s">
        <v>203</v>
      </c>
      <c r="D8" s="5"/>
      <c r="E8" s="5"/>
      <c r="F8" s="5"/>
      <c r="G8" s="5"/>
      <c r="H8" s="5"/>
      <c r="I8" s="5"/>
    </row>
    <row r="9" spans="2:9" ht="21.75" customHeight="1">
      <c r="B9" s="15" t="s">
        <v>204</v>
      </c>
      <c r="C9" s="5"/>
      <c r="D9" s="5"/>
      <c r="E9" s="5"/>
      <c r="F9" s="5"/>
      <c r="G9" s="5"/>
      <c r="H9" s="5"/>
      <c r="I9" s="5"/>
    </row>
    <row r="11" spans="2:9" ht="21.75" customHeight="1">
      <c r="B11" s="13" t="s">
        <v>141</v>
      </c>
      <c r="C11" s="13"/>
      <c r="D11" s="13"/>
      <c r="E11" s="13"/>
      <c r="F11" s="13"/>
      <c r="G11" s="13"/>
      <c r="H11" s="13"/>
      <c r="I11" s="13"/>
    </row>
    <row r="12" spans="2:9" ht="24" customHeight="1">
      <c r="B12" s="31" t="s">
        <v>107</v>
      </c>
      <c r="C12" s="31" t="s">
        <v>108</v>
      </c>
      <c r="D12" s="32"/>
      <c r="E12" s="32"/>
      <c r="F12" s="32"/>
      <c r="G12" s="32"/>
      <c r="H12" s="32"/>
      <c r="I12" s="32"/>
    </row>
    <row r="13" spans="2:9" ht="19.5" customHeight="1">
      <c r="B13" s="20" t="s">
        <v>205</v>
      </c>
      <c r="C13" s="25"/>
      <c r="D13" s="32"/>
      <c r="E13" s="32"/>
      <c r="F13" s="32"/>
      <c r="G13" s="32"/>
      <c r="H13" s="32"/>
      <c r="I13" s="32"/>
    </row>
    <row r="14" spans="2:9" ht="19.5" customHeight="1">
      <c r="B14" s="20" t="s">
        <v>206</v>
      </c>
      <c r="C14" s="25"/>
      <c r="D14" s="32"/>
      <c r="E14" s="32"/>
      <c r="F14" s="32"/>
      <c r="G14" s="32"/>
      <c r="H14" s="32"/>
      <c r="I14" s="32"/>
    </row>
    <row r="15" spans="2:9" ht="19.5" customHeight="1">
      <c r="B15" s="20" t="s">
        <v>207</v>
      </c>
      <c r="C15" s="25"/>
      <c r="D15" s="32"/>
      <c r="E15" s="32"/>
      <c r="F15" s="32"/>
      <c r="G15" s="32"/>
      <c r="H15" s="32"/>
      <c r="I15" s="32"/>
    </row>
    <row r="16" spans="2:9" ht="19.5" customHeight="1">
      <c r="B16" s="20" t="s">
        <v>208</v>
      </c>
      <c r="C16" s="25"/>
      <c r="D16" s="32"/>
      <c r="E16" s="32"/>
      <c r="F16" s="32"/>
      <c r="G16" s="32"/>
      <c r="H16" s="32"/>
      <c r="I16" s="32"/>
    </row>
    <row r="17" spans="1:9" ht="19.5" customHeight="1">
      <c r="B17" s="20" t="s">
        <v>209</v>
      </c>
      <c r="C17" s="25"/>
      <c r="D17" s="32"/>
      <c r="E17" s="32"/>
      <c r="F17" s="32"/>
      <c r="G17" s="32"/>
      <c r="H17" s="32"/>
      <c r="I17" s="32"/>
    </row>
    <row r="18" spans="1:9" ht="19.5" customHeight="1">
      <c r="B18" s="20" t="s">
        <v>210</v>
      </c>
      <c r="C18" s="25"/>
      <c r="D18" s="32"/>
      <c r="E18" s="32"/>
      <c r="F18" s="32"/>
      <c r="G18" s="32"/>
      <c r="H18" s="32"/>
      <c r="I18" s="32"/>
    </row>
    <row r="20" spans="1:9" ht="21.75" customHeight="1">
      <c r="B20" s="12" t="s">
        <v>211</v>
      </c>
      <c r="C20" s="12"/>
      <c r="D20" s="12"/>
      <c r="E20" s="12"/>
      <c r="F20" s="12"/>
      <c r="G20" s="12"/>
      <c r="H20" s="12"/>
      <c r="I20" s="12"/>
    </row>
    <row r="21" spans="1:9" ht="31.5" customHeight="1">
      <c r="A21" s="30" t="s">
        <v>78</v>
      </c>
      <c r="B21" s="30" t="s">
        <v>212</v>
      </c>
      <c r="C21" s="30" t="s">
        <v>181</v>
      </c>
      <c r="D21" s="30" t="s">
        <v>213</v>
      </c>
      <c r="E21" s="30" t="s">
        <v>214</v>
      </c>
      <c r="F21" s="30" t="s">
        <v>215</v>
      </c>
      <c r="G21" s="30" t="s">
        <v>216</v>
      </c>
      <c r="H21" s="30" t="s">
        <v>217</v>
      </c>
      <c r="I21" s="30" t="s">
        <v>153</v>
      </c>
    </row>
    <row r="22" spans="1:9" ht="19.5" customHeight="1">
      <c r="B22" s="25">
        <v>1</v>
      </c>
      <c r="C22" s="25"/>
      <c r="D22" s="25"/>
      <c r="E22" s="25"/>
      <c r="F22" s="25"/>
      <c r="G22" s="25"/>
      <c r="H22" s="25"/>
      <c r="I22" s="19"/>
    </row>
    <row r="23" spans="1:9" ht="19.5" customHeight="1">
      <c r="B23" s="25">
        <v>2</v>
      </c>
      <c r="C23" s="25"/>
      <c r="D23" s="25"/>
      <c r="E23" s="25"/>
      <c r="F23" s="25"/>
      <c r="G23" s="25"/>
      <c r="H23" s="25"/>
      <c r="I23" s="19"/>
    </row>
    <row r="24" spans="1:9" ht="19.5" customHeight="1">
      <c r="B24" s="25">
        <v>3</v>
      </c>
      <c r="C24" s="25"/>
      <c r="D24" s="25"/>
      <c r="E24" s="25"/>
      <c r="F24" s="25"/>
      <c r="G24" s="25"/>
      <c r="H24" s="25"/>
      <c r="I24" s="19"/>
    </row>
    <row r="25" spans="1:9" ht="19.5" customHeight="1">
      <c r="B25" s="25">
        <v>4</v>
      </c>
      <c r="C25" s="25"/>
      <c r="D25" s="25"/>
      <c r="E25" s="25"/>
      <c r="F25" s="25"/>
      <c r="G25" s="25"/>
      <c r="H25" s="25"/>
      <c r="I25" s="19"/>
    </row>
    <row r="26" spans="1:9" ht="19.5" customHeight="1">
      <c r="B26" s="25">
        <v>5</v>
      </c>
      <c r="C26" s="25"/>
      <c r="D26" s="25"/>
      <c r="E26" s="25"/>
      <c r="F26" s="25"/>
      <c r="G26" s="25"/>
      <c r="H26" s="25"/>
      <c r="I26" s="19"/>
    </row>
    <row r="27" spans="1:9" ht="19.5" customHeight="1">
      <c r="B27" s="25">
        <v>6</v>
      </c>
      <c r="C27" s="25"/>
      <c r="D27" s="25"/>
      <c r="E27" s="25"/>
      <c r="F27" s="25"/>
      <c r="G27" s="25"/>
      <c r="H27" s="25"/>
      <c r="I27" s="19"/>
    </row>
    <row r="28" spans="1:9" ht="19.5" customHeight="1">
      <c r="B28" s="25">
        <v>7</v>
      </c>
      <c r="C28" s="25"/>
      <c r="D28" s="25"/>
      <c r="E28" s="25"/>
      <c r="F28" s="25"/>
      <c r="G28" s="25"/>
      <c r="H28" s="25"/>
      <c r="I28" s="19"/>
    </row>
    <row r="29" spans="1:9" ht="19.5" customHeight="1">
      <c r="B29" s="25">
        <v>8</v>
      </c>
      <c r="C29" s="25"/>
      <c r="D29" s="25"/>
      <c r="E29" s="25"/>
      <c r="F29" s="25"/>
      <c r="G29" s="25"/>
      <c r="H29" s="25"/>
      <c r="I29" s="19"/>
    </row>
    <row r="30" spans="1:9" ht="19.5" customHeight="1">
      <c r="B30" s="25">
        <v>9</v>
      </c>
      <c r="C30" s="25"/>
      <c r="D30" s="25"/>
      <c r="E30" s="25"/>
      <c r="F30" s="25"/>
      <c r="G30" s="25"/>
      <c r="H30" s="25"/>
      <c r="I30" s="19"/>
    </row>
    <row r="31" spans="1:9" ht="19.5" customHeight="1">
      <c r="B31" s="25">
        <v>10</v>
      </c>
      <c r="C31" s="25"/>
      <c r="D31" s="25"/>
      <c r="E31" s="25"/>
      <c r="F31" s="25"/>
      <c r="G31" s="25"/>
      <c r="H31" s="25"/>
      <c r="I31" s="19"/>
    </row>
    <row r="32" spans="1:9" ht="19.5" customHeight="1">
      <c r="B32" s="25">
        <v>11</v>
      </c>
      <c r="C32" s="25"/>
      <c r="D32" s="25"/>
      <c r="E32" s="25"/>
      <c r="F32" s="25"/>
      <c r="G32" s="25"/>
      <c r="H32" s="25"/>
      <c r="I32" s="19"/>
    </row>
    <row r="33" spans="2:9" ht="19.5" customHeight="1">
      <c r="B33" s="25">
        <v>12</v>
      </c>
      <c r="C33" s="25"/>
      <c r="D33" s="25"/>
      <c r="E33" s="25"/>
      <c r="F33" s="25"/>
      <c r="G33" s="25"/>
      <c r="H33" s="25"/>
      <c r="I33" s="19"/>
    </row>
    <row r="34" spans="2:9" ht="19.5" customHeight="1">
      <c r="B34" s="25">
        <v>13</v>
      </c>
      <c r="C34" s="25"/>
      <c r="D34" s="25"/>
      <c r="E34" s="25"/>
      <c r="F34" s="25"/>
      <c r="G34" s="25"/>
      <c r="H34" s="25"/>
      <c r="I34" s="19"/>
    </row>
    <row r="35" spans="2:9" ht="19.5" customHeight="1">
      <c r="B35" s="25">
        <v>14</v>
      </c>
      <c r="C35" s="25"/>
      <c r="D35" s="25"/>
      <c r="E35" s="25"/>
      <c r="F35" s="25"/>
      <c r="G35" s="25"/>
      <c r="H35" s="25"/>
      <c r="I35" s="19"/>
    </row>
    <row r="36" spans="2:9" ht="19.5" customHeight="1">
      <c r="B36" s="25">
        <v>15</v>
      </c>
      <c r="C36" s="25"/>
      <c r="D36" s="25"/>
      <c r="E36" s="25"/>
      <c r="F36" s="25"/>
      <c r="G36" s="25"/>
      <c r="H36" s="25"/>
      <c r="I36" s="19"/>
    </row>
    <row r="38" spans="2:9" ht="21.75" customHeight="1">
      <c r="B38" s="12" t="s">
        <v>126</v>
      </c>
      <c r="C38" s="12"/>
      <c r="D38" s="12"/>
      <c r="E38" s="12"/>
      <c r="F38" s="12"/>
      <c r="G38" s="12"/>
      <c r="H38" s="12"/>
      <c r="I38" s="12"/>
    </row>
    <row r="39" spans="2:9" ht="21.75" customHeight="1">
      <c r="B39" s="42" t="s">
        <v>218</v>
      </c>
      <c r="C39" s="42"/>
      <c r="D39" s="43" t="str">
        <f>IFERROR(AVERAGE(D22:D36),"")</f>
        <v/>
      </c>
      <c r="E39" s="43"/>
      <c r="F39" s="43"/>
      <c r="G39" s="43"/>
      <c r="H39" s="43"/>
      <c r="I39" s="43"/>
    </row>
    <row r="40" spans="2:9" ht="21.75" customHeight="1">
      <c r="B40" s="42" t="s">
        <v>219</v>
      </c>
      <c r="C40" s="42"/>
      <c r="D40" s="43">
        <f>IFERROR(MAX(D22:D36),"")</f>
        <v>0</v>
      </c>
      <c r="E40" s="43"/>
      <c r="F40" s="43"/>
      <c r="G40" s="43"/>
      <c r="H40" s="43"/>
      <c r="I40" s="43"/>
    </row>
    <row r="41" spans="2:9" ht="21.75" customHeight="1">
      <c r="B41" s="42" t="s">
        <v>220</v>
      </c>
      <c r="C41" s="42"/>
      <c r="D41" s="43" t="str">
        <f>IFERROR(AVERAGE(H22:H36),"")</f>
        <v/>
      </c>
      <c r="E41" s="43"/>
      <c r="F41" s="43"/>
      <c r="G41" s="43"/>
      <c r="H41" s="43"/>
      <c r="I41" s="43"/>
    </row>
    <row r="42" spans="2:9" ht="21.75" customHeight="1">
      <c r="B42" s="42" t="s">
        <v>221</v>
      </c>
      <c r="C42" s="42"/>
      <c r="D42" s="43" t="str">
        <f>IFERROR(COUNTIF(I22:I36,"Match")/COUNTA(I22:I36)*100,"")</f>
        <v/>
      </c>
      <c r="E42" s="43"/>
      <c r="F42" s="43"/>
      <c r="G42" s="43"/>
      <c r="H42" s="43"/>
      <c r="I42" s="43"/>
    </row>
    <row r="43" spans="2:9" ht="21.75" customHeight="1">
      <c r="B43" s="42" t="s">
        <v>222</v>
      </c>
      <c r="C43" s="42"/>
      <c r="D43" s="43"/>
      <c r="E43" s="43"/>
      <c r="F43" s="43"/>
      <c r="G43" s="43"/>
      <c r="H43" s="43"/>
      <c r="I43" s="43"/>
    </row>
    <row r="44" spans="2:9" ht="21.75" customHeight="1">
      <c r="B44" s="42" t="s">
        <v>223</v>
      </c>
      <c r="C44" s="42"/>
      <c r="D44" s="43"/>
      <c r="E44" s="43"/>
      <c r="F44" s="43"/>
      <c r="G44" s="43"/>
      <c r="H44" s="43"/>
      <c r="I44" s="43"/>
    </row>
  </sheetData>
  <mergeCells count="23">
    <mergeCell ref="B44:C44"/>
    <mergeCell ref="D44:I44"/>
    <mergeCell ref="B41:C41"/>
    <mergeCell ref="D41:I41"/>
    <mergeCell ref="B42:C42"/>
    <mergeCell ref="D42:I42"/>
    <mergeCell ref="B43:C43"/>
    <mergeCell ref="D43:I43"/>
    <mergeCell ref="B38:I38"/>
    <mergeCell ref="B39:C39"/>
    <mergeCell ref="D39:I39"/>
    <mergeCell ref="B40:C40"/>
    <mergeCell ref="D40:I40"/>
    <mergeCell ref="C7:I7"/>
    <mergeCell ref="C8:I8"/>
    <mergeCell ref="C9:I9"/>
    <mergeCell ref="B11:I11"/>
    <mergeCell ref="B20:I20"/>
    <mergeCell ref="B1:I1"/>
    <mergeCell ref="B3:I3"/>
    <mergeCell ref="C4:I4"/>
    <mergeCell ref="C5:I5"/>
    <mergeCell ref="C6:I6"/>
  </mergeCells>
  <dataValidations count="3">
    <dataValidation type="list" allowBlank="1" sqref="C5" xr:uid="{00000000-0002-0000-0600-000000000000}">
      <formula1>"TensorFlow,TensorFlow Lite,PyTorch,Caffe,ONNX,MXNet,Keras,Darknet"</formula1>
      <formula2>0</formula2>
    </dataValidation>
    <dataValidation type="list" allowBlank="1" sqref="C6" xr:uid="{00000000-0002-0000-0600-000001000000}">
      <formula1>"INT8,INT16,FP16,BFP16,Mixed"</formula1>
      <formula2>0</formula2>
    </dataValidation>
    <dataValidation type="list" allowBlank="1" sqref="I22:I36" xr:uid="{00000000-0002-0000-0600-000002000000}">
      <formula1>"Match,Mismatch,N/A"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  <pageSetUpPr fitToPage="1"/>
  </sheetPr>
  <dimension ref="A1:I1048576"/>
  <sheetViews>
    <sheetView showGridLines="0" zoomScaleNormal="100" workbookViewId="0">
      <pane ySplit="3" topLeftCell="A4" activePane="bottomLeft" state="frozen"/>
      <selection pane="bottomLeft" activeCell="E35" sqref="E35"/>
    </sheetView>
  </sheetViews>
  <sheetFormatPr defaultColWidth="8.7109375" defaultRowHeight="15"/>
  <cols>
    <col min="1" max="1" width="4" customWidth="1"/>
    <col min="2" max="2" width="31.140625" customWidth="1"/>
    <col min="3" max="8" width="14" customWidth="1"/>
    <col min="9" max="9" width="28" customWidth="1"/>
  </cols>
  <sheetData>
    <row r="1" spans="1:9" ht="33.75" customHeight="1">
      <c r="B1" s="14" t="s">
        <v>224</v>
      </c>
      <c r="C1" s="14"/>
      <c r="D1" s="14"/>
      <c r="E1" s="14"/>
      <c r="F1" s="14"/>
      <c r="G1" s="14"/>
      <c r="H1" s="14"/>
      <c r="I1" s="14"/>
    </row>
    <row r="3" spans="1:9" ht="21.75" customHeight="1">
      <c r="B3" s="13" t="s">
        <v>141</v>
      </c>
      <c r="C3" s="13"/>
      <c r="D3" s="13"/>
      <c r="E3" s="13"/>
      <c r="F3" s="13"/>
      <c r="G3" s="13"/>
      <c r="H3" s="13"/>
      <c r="I3" s="13"/>
    </row>
    <row r="4" spans="1:9" ht="24" customHeight="1">
      <c r="B4" s="31" t="s">
        <v>107</v>
      </c>
      <c r="C4" s="31" t="s">
        <v>108</v>
      </c>
      <c r="D4" s="32"/>
      <c r="E4" s="32"/>
      <c r="F4" s="32"/>
      <c r="G4" s="32"/>
      <c r="H4" s="32"/>
      <c r="I4" s="32"/>
    </row>
    <row r="5" spans="1:9" ht="19.5" customHeight="1">
      <c r="B5" s="20" t="s">
        <v>225</v>
      </c>
      <c r="C5" s="25"/>
      <c r="D5" s="32"/>
      <c r="E5" s="32"/>
      <c r="F5" s="32"/>
      <c r="G5" s="32"/>
      <c r="H5" s="32"/>
      <c r="I5" s="32"/>
    </row>
    <row r="6" spans="1:9" ht="19.5" customHeight="1">
      <c r="B6" s="20" t="s">
        <v>226</v>
      </c>
      <c r="C6" s="25"/>
      <c r="D6" s="32"/>
      <c r="E6" s="32"/>
      <c r="F6" s="32"/>
      <c r="G6" s="32"/>
      <c r="H6" s="32"/>
      <c r="I6" s="32"/>
    </row>
    <row r="7" spans="1:9" ht="19.5" customHeight="1">
      <c r="B7" s="20" t="s">
        <v>227</v>
      </c>
      <c r="C7" s="25"/>
      <c r="D7" s="32"/>
      <c r="E7" s="32"/>
      <c r="F7" s="32"/>
      <c r="G7" s="32"/>
      <c r="H7" s="32"/>
      <c r="I7" s="32"/>
    </row>
    <row r="8" spans="1:9" ht="19.5" customHeight="1">
      <c r="B8" s="20" t="s">
        <v>228</v>
      </c>
      <c r="C8" s="25"/>
      <c r="D8" s="32"/>
      <c r="E8" s="32"/>
      <c r="F8" s="32"/>
      <c r="G8" s="32"/>
      <c r="H8" s="32"/>
      <c r="I8" s="32"/>
    </row>
    <row r="9" spans="1:9" ht="19.5" customHeight="1">
      <c r="B9" s="20" t="s">
        <v>229</v>
      </c>
      <c r="C9" s="25"/>
      <c r="D9" s="32"/>
      <c r="E9" s="32"/>
      <c r="F9" s="32"/>
      <c r="G9" s="32"/>
      <c r="H9" s="32"/>
      <c r="I9" s="32"/>
    </row>
    <row r="11" spans="1:9" ht="21.75" customHeight="1">
      <c r="B11" s="12" t="s">
        <v>230</v>
      </c>
      <c r="C11" s="12"/>
      <c r="D11" s="12"/>
      <c r="E11" s="12"/>
      <c r="F11" s="12"/>
      <c r="G11" s="12"/>
      <c r="H11" s="12"/>
      <c r="I11" s="12"/>
    </row>
    <row r="12" spans="1:9" ht="31.5" customHeight="1">
      <c r="A12" s="23" t="s">
        <v>78</v>
      </c>
      <c r="B12" s="30" t="s">
        <v>116</v>
      </c>
      <c r="C12" s="30" t="s">
        <v>231</v>
      </c>
      <c r="D12" s="30" t="s">
        <v>232</v>
      </c>
      <c r="E12" s="30" t="s">
        <v>233</v>
      </c>
      <c r="F12" s="30" t="s">
        <v>122</v>
      </c>
      <c r="G12" s="30" t="s">
        <v>234</v>
      </c>
      <c r="H12" s="30" t="s">
        <v>235</v>
      </c>
      <c r="I12" s="30" t="s">
        <v>153</v>
      </c>
    </row>
    <row r="13" spans="1:9" ht="19.5" customHeight="1">
      <c r="B13" s="25">
        <v>1</v>
      </c>
      <c r="C13" s="25">
        <v>0</v>
      </c>
      <c r="D13" s="25"/>
      <c r="E13" s="25"/>
      <c r="F13" s="25">
        <f>IFERROR(D13*E13,"")</f>
        <v>0</v>
      </c>
      <c r="G13" s="25"/>
      <c r="H13" s="25"/>
      <c r="I13" s="19"/>
    </row>
    <row r="14" spans="1:9" ht="19.5" customHeight="1">
      <c r="B14" s="25">
        <v>2</v>
      </c>
      <c r="C14" s="25">
        <v>2</v>
      </c>
      <c r="D14" s="25"/>
      <c r="E14" s="25"/>
      <c r="F14" s="25">
        <f>IFERROR(D14*E14,"")</f>
        <v>0</v>
      </c>
      <c r="G14" s="25"/>
      <c r="H14" s="25"/>
      <c r="I14" s="19"/>
    </row>
    <row r="15" spans="1:9" ht="19.5" customHeight="1">
      <c r="B15" s="25">
        <v>3</v>
      </c>
      <c r="C15" s="25">
        <v>4</v>
      </c>
      <c r="D15" s="25"/>
      <c r="E15" s="25"/>
      <c r="F15" s="25">
        <f>IFERROR(D15*E15,"")</f>
        <v>0</v>
      </c>
      <c r="G15" s="25"/>
      <c r="H15" s="25"/>
      <c r="I15" s="19"/>
    </row>
    <row r="16" spans="1:9" ht="19.5" customHeight="1">
      <c r="B16" s="25">
        <v>4</v>
      </c>
      <c r="C16" s="25">
        <v>6</v>
      </c>
      <c r="D16" s="25"/>
      <c r="E16" s="25"/>
      <c r="F16" s="25">
        <f>IFERROR(D16*E16,"")</f>
        <v>0</v>
      </c>
      <c r="G16" s="25"/>
      <c r="H16" s="25"/>
      <c r="I16" s="19"/>
    </row>
    <row r="17" spans="2:9" ht="19.5" customHeight="1">
      <c r="B17" s="25">
        <v>5</v>
      </c>
      <c r="C17" s="25">
        <v>8</v>
      </c>
      <c r="D17" s="25"/>
      <c r="E17" s="25"/>
      <c r="F17" s="25">
        <f>IFERROR(D17*E17,"")</f>
        <v>0</v>
      </c>
      <c r="G17" s="25"/>
      <c r="H17" s="25"/>
      <c r="I17" s="19"/>
    </row>
    <row r="18" spans="2:9" ht="19.5" customHeight="1">
      <c r="B18" s="25">
        <v>6</v>
      </c>
      <c r="C18" s="25">
        <v>10</v>
      </c>
      <c r="D18" s="25"/>
      <c r="E18" s="25"/>
      <c r="F18" s="25">
        <f>IFERROR(D18*E18,"")</f>
        <v>0</v>
      </c>
      <c r="G18" s="25"/>
      <c r="H18" s="25"/>
      <c r="I18" s="19"/>
    </row>
    <row r="19" spans="2:9" ht="19.5" customHeight="1">
      <c r="B19" s="25">
        <v>7</v>
      </c>
      <c r="C19" s="25">
        <v>12</v>
      </c>
      <c r="D19" s="25"/>
      <c r="E19" s="25"/>
      <c r="F19" s="25">
        <f>IFERROR(D19*E19,"")</f>
        <v>0</v>
      </c>
      <c r="G19" s="25"/>
      <c r="H19" s="25"/>
      <c r="I19" s="19"/>
    </row>
    <row r="20" spans="2:9" ht="19.5" customHeight="1">
      <c r="B20" s="25">
        <v>8</v>
      </c>
      <c r="C20" s="25">
        <v>14</v>
      </c>
      <c r="D20" s="25"/>
      <c r="E20" s="25"/>
      <c r="F20" s="25">
        <f>IFERROR(D20*E20,"")</f>
        <v>0</v>
      </c>
      <c r="G20" s="25"/>
      <c r="H20" s="25"/>
      <c r="I20" s="19"/>
    </row>
    <row r="21" spans="2:9" ht="19.5" customHeight="1">
      <c r="B21" s="25">
        <v>9</v>
      </c>
      <c r="C21" s="25">
        <v>16</v>
      </c>
      <c r="D21" s="25"/>
      <c r="E21" s="25"/>
      <c r="F21" s="25">
        <f>IFERROR(D21*E21,"")</f>
        <v>0</v>
      </c>
      <c r="G21" s="25"/>
      <c r="H21" s="25"/>
      <c r="I21" s="19"/>
    </row>
    <row r="22" spans="2:9" ht="19.5" customHeight="1">
      <c r="B22" s="25">
        <v>10</v>
      </c>
      <c r="C22" s="25">
        <v>18</v>
      </c>
      <c r="D22" s="25"/>
      <c r="E22" s="25"/>
      <c r="F22" s="25">
        <f>IFERROR(D22*E22,"")</f>
        <v>0</v>
      </c>
      <c r="G22" s="25"/>
      <c r="H22" s="25"/>
      <c r="I22" s="19"/>
    </row>
    <row r="23" spans="2:9" ht="19.5" customHeight="1">
      <c r="B23" s="25">
        <v>11</v>
      </c>
      <c r="C23" s="25">
        <v>20</v>
      </c>
      <c r="D23" s="25"/>
      <c r="E23" s="25"/>
      <c r="F23" s="25">
        <f>IFERROR(D23*E23,"")</f>
        <v>0</v>
      </c>
      <c r="G23" s="25"/>
      <c r="H23" s="25"/>
      <c r="I23" s="19"/>
    </row>
    <row r="24" spans="2:9" ht="19.5" customHeight="1">
      <c r="B24" s="25">
        <v>12</v>
      </c>
      <c r="C24" s="25">
        <v>22</v>
      </c>
      <c r="D24" s="25"/>
      <c r="E24" s="25"/>
      <c r="F24" s="25">
        <f>IFERROR(D24*E24,"")</f>
        <v>0</v>
      </c>
      <c r="G24" s="25"/>
      <c r="H24" s="25"/>
      <c r="I24" s="19"/>
    </row>
    <row r="25" spans="2:9" ht="19.5" customHeight="1">
      <c r="B25" s="25">
        <v>13</v>
      </c>
      <c r="C25" s="25">
        <v>24</v>
      </c>
      <c r="D25" s="25"/>
      <c r="E25" s="25"/>
      <c r="F25" s="25">
        <f>IFERROR(D25*E25,"")</f>
        <v>0</v>
      </c>
      <c r="G25" s="25"/>
      <c r="H25" s="25"/>
      <c r="I25" s="19"/>
    </row>
    <row r="26" spans="2:9" ht="19.5" customHeight="1">
      <c r="B26" s="25">
        <v>14</v>
      </c>
      <c r="C26" s="25">
        <v>26</v>
      </c>
      <c r="D26" s="25"/>
      <c r="E26" s="25"/>
      <c r="F26" s="25">
        <f>IFERROR(D26*E26,"")</f>
        <v>0</v>
      </c>
      <c r="G26" s="25"/>
      <c r="H26" s="25"/>
      <c r="I26" s="19"/>
    </row>
    <row r="27" spans="2:9" ht="19.5" customHeight="1">
      <c r="B27" s="25">
        <v>15</v>
      </c>
      <c r="C27" s="25">
        <v>28</v>
      </c>
      <c r="D27" s="25"/>
      <c r="E27" s="25"/>
      <c r="F27" s="25">
        <f>IFERROR(D27*E27,"")</f>
        <v>0</v>
      </c>
      <c r="G27" s="25"/>
      <c r="H27" s="25"/>
      <c r="I27" s="19"/>
    </row>
    <row r="28" spans="2:9" ht="19.5" customHeight="1">
      <c r="B28" s="25">
        <v>16</v>
      </c>
      <c r="C28" s="25">
        <v>30</v>
      </c>
      <c r="D28" s="25"/>
      <c r="E28" s="25"/>
      <c r="F28" s="25">
        <f>IFERROR(D28*E28,"")</f>
        <v>0</v>
      </c>
      <c r="G28" s="25"/>
      <c r="H28" s="25"/>
      <c r="I28" s="19"/>
    </row>
    <row r="30" spans="2:9" ht="21.75" customHeight="1">
      <c r="B30" s="12" t="s">
        <v>126</v>
      </c>
      <c r="C30" s="12"/>
      <c r="D30" s="12"/>
      <c r="E30" s="12"/>
      <c r="F30" s="12"/>
      <c r="G30" s="12"/>
      <c r="H30" s="12"/>
      <c r="I30" s="12"/>
    </row>
    <row r="31" spans="2:9" ht="21.75" customHeight="1">
      <c r="B31" s="42" t="s">
        <v>236</v>
      </c>
      <c r="C31" s="42"/>
      <c r="D31" s="42"/>
      <c r="E31" s="43">
        <f>IFERROR(AVERAGE(F13:F28),"")</f>
        <v>0</v>
      </c>
      <c r="F31" s="43"/>
      <c r="G31" s="43"/>
      <c r="H31" s="43"/>
      <c r="I31" s="43"/>
    </row>
    <row r="32" spans="2:9" ht="21.75" customHeight="1">
      <c r="B32" s="42" t="s">
        <v>237</v>
      </c>
      <c r="C32" s="42"/>
      <c r="D32" s="42"/>
      <c r="E32" s="43">
        <f>IFERROR(MAX(F13:F28),"")</f>
        <v>0</v>
      </c>
      <c r="F32" s="43"/>
      <c r="G32" s="43"/>
      <c r="H32" s="43"/>
      <c r="I32" s="43"/>
    </row>
    <row r="33" spans="2:9" ht="21.75" customHeight="1">
      <c r="B33" s="42" t="s">
        <v>238</v>
      </c>
      <c r="C33" s="42"/>
      <c r="D33" s="42"/>
      <c r="E33" s="43">
        <f>IFERROR(MAX(G13:G28),"")</f>
        <v>0</v>
      </c>
      <c r="F33" s="43"/>
      <c r="G33" s="43"/>
      <c r="H33" s="43"/>
      <c r="I33" s="43"/>
    </row>
    <row r="34" spans="2:9" ht="21.75" customHeight="1">
      <c r="B34" s="42" t="s">
        <v>239</v>
      </c>
      <c r="C34" s="42"/>
      <c r="D34" s="42"/>
      <c r="E34" s="43">
        <f>IFERROR(MAX(H13:H28),"")</f>
        <v>0</v>
      </c>
      <c r="F34" s="43"/>
      <c r="G34" s="43"/>
      <c r="H34" s="43"/>
      <c r="I34" s="43"/>
    </row>
    <row r="1048574" ht="12.75"/>
    <row r="1048575" ht="12.75"/>
    <row r="1048576" ht="12.75"/>
  </sheetData>
  <mergeCells count="12">
    <mergeCell ref="B32:D32"/>
    <mergeCell ref="E32:I32"/>
    <mergeCell ref="B33:D33"/>
    <mergeCell ref="E33:I33"/>
    <mergeCell ref="B34:D34"/>
    <mergeCell ref="E34:I34"/>
    <mergeCell ref="B1:I1"/>
    <mergeCell ref="B3:I3"/>
    <mergeCell ref="B11:I11"/>
    <mergeCell ref="B30:I30"/>
    <mergeCell ref="B31:D31"/>
    <mergeCell ref="E31:I3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048576"/>
  <sheetViews>
    <sheetView showGridLines="0" tabSelected="1" zoomScaleNormal="100" workbookViewId="0">
      <pane ySplit="3" topLeftCell="A4" activePane="bottomLeft" state="frozen"/>
      <selection pane="bottomLeft" activeCell="C14" sqref="C14"/>
    </sheetView>
  </sheetViews>
  <sheetFormatPr defaultColWidth="8.7109375" defaultRowHeight="15"/>
  <cols>
    <col min="1" max="1" width="4" customWidth="1"/>
    <col min="2" max="2" width="51.42578125" customWidth="1"/>
    <col min="3" max="7" width="14" customWidth="1"/>
    <col min="8" max="8" width="28" customWidth="1"/>
  </cols>
  <sheetData>
    <row r="1" spans="1:8" ht="33.75" customHeight="1">
      <c r="B1" s="14" t="s">
        <v>240</v>
      </c>
      <c r="C1" s="14"/>
      <c r="D1" s="14"/>
      <c r="E1" s="14"/>
      <c r="F1" s="14"/>
      <c r="G1" s="14"/>
      <c r="H1" s="14"/>
    </row>
    <row r="3" spans="1:8" ht="21.75" customHeight="1">
      <c r="B3" s="13" t="s">
        <v>141</v>
      </c>
      <c r="C3" s="13"/>
      <c r="D3" s="13"/>
      <c r="E3" s="13"/>
      <c r="F3" s="13"/>
      <c r="G3" s="13"/>
      <c r="H3" s="13"/>
    </row>
    <row r="4" spans="1:8" ht="24" customHeight="1">
      <c r="B4" s="31" t="s">
        <v>107</v>
      </c>
      <c r="C4" s="31" t="s">
        <v>108</v>
      </c>
      <c r="D4" s="32"/>
      <c r="E4" s="32"/>
      <c r="F4" s="32"/>
      <c r="G4" s="32"/>
      <c r="H4" s="32"/>
    </row>
    <row r="5" spans="1:8" ht="19.5" customHeight="1">
      <c r="B5" s="20" t="s">
        <v>241</v>
      </c>
      <c r="C5" s="25"/>
      <c r="D5" s="32"/>
      <c r="E5" s="32"/>
      <c r="F5" s="32"/>
      <c r="G5" s="32"/>
      <c r="H5" s="32"/>
    </row>
    <row r="6" spans="1:8" ht="19.5" customHeight="1">
      <c r="B6" s="20" t="s">
        <v>242</v>
      </c>
      <c r="C6" s="25"/>
      <c r="D6" s="32"/>
      <c r="E6" s="32"/>
      <c r="F6" s="32"/>
      <c r="G6" s="32"/>
      <c r="H6" s="32"/>
    </row>
    <row r="7" spans="1:8" ht="19.5" customHeight="1">
      <c r="B7" s="20" t="s">
        <v>243</v>
      </c>
      <c r="C7" s="25"/>
      <c r="D7" s="32"/>
      <c r="E7" s="32"/>
      <c r="F7" s="32"/>
      <c r="G7" s="32"/>
      <c r="H7" s="32"/>
    </row>
    <row r="8" spans="1:8" ht="19.5" customHeight="1">
      <c r="B8" s="20" t="s">
        <v>244</v>
      </c>
      <c r="C8" s="25"/>
      <c r="D8" s="32"/>
      <c r="E8" s="32"/>
      <c r="F8" s="32"/>
      <c r="G8" s="32"/>
      <c r="H8" s="32"/>
    </row>
    <row r="9" spans="1:8" ht="19.5" customHeight="1">
      <c r="B9" s="20" t="s">
        <v>245</v>
      </c>
      <c r="C9" s="25"/>
      <c r="D9" s="32"/>
      <c r="E9" s="32"/>
      <c r="F9" s="32"/>
      <c r="G9" s="32"/>
      <c r="H9" s="32"/>
    </row>
    <row r="10" spans="1:8" ht="19.5" customHeight="1">
      <c r="B10" s="20" t="s">
        <v>246</v>
      </c>
      <c r="C10" s="25"/>
      <c r="D10" s="32"/>
      <c r="E10" s="32"/>
      <c r="F10" s="32"/>
      <c r="G10" s="32"/>
      <c r="H10" s="32"/>
    </row>
    <row r="12" spans="1:8" ht="21.75" customHeight="1">
      <c r="B12" s="12" t="s">
        <v>247</v>
      </c>
      <c r="C12" s="12"/>
      <c r="D12" s="12"/>
      <c r="E12" s="12"/>
      <c r="F12" s="12"/>
      <c r="G12" s="12"/>
      <c r="H12" s="12"/>
    </row>
    <row r="13" spans="1:8" ht="31.5" customHeight="1">
      <c r="A13" s="23" t="s">
        <v>78</v>
      </c>
      <c r="B13" s="30" t="s">
        <v>248</v>
      </c>
      <c r="C13" s="30" t="s">
        <v>249</v>
      </c>
      <c r="D13" s="30" t="s">
        <v>250</v>
      </c>
      <c r="E13" s="30" t="s">
        <v>251</v>
      </c>
      <c r="F13" s="30" t="s">
        <v>252</v>
      </c>
      <c r="G13" s="30" t="s">
        <v>253</v>
      </c>
      <c r="H13" s="30" t="s">
        <v>153</v>
      </c>
    </row>
    <row r="14" spans="1:8" ht="24" customHeight="1">
      <c r="B14" s="25">
        <v>1</v>
      </c>
      <c r="C14" s="19" t="s">
        <v>254</v>
      </c>
      <c r="D14" s="25"/>
      <c r="E14" s="25"/>
      <c r="F14" s="25"/>
      <c r="G14" s="25"/>
      <c r="H14" s="19"/>
    </row>
    <row r="15" spans="1:8" ht="24" customHeight="1">
      <c r="B15" s="25">
        <v>2</v>
      </c>
      <c r="C15" s="19" t="s">
        <v>255</v>
      </c>
      <c r="D15" s="25"/>
      <c r="E15" s="25"/>
      <c r="F15" s="25"/>
      <c r="G15" s="25"/>
      <c r="H15" s="19"/>
    </row>
    <row r="16" spans="1:8" ht="24" customHeight="1">
      <c r="B16" s="25">
        <v>3</v>
      </c>
      <c r="C16" s="19" t="s">
        <v>256</v>
      </c>
      <c r="D16" s="25"/>
      <c r="E16" s="25"/>
      <c r="F16" s="25"/>
      <c r="G16" s="25"/>
      <c r="H16" s="19"/>
    </row>
    <row r="17" spans="1:8" ht="24" customHeight="1">
      <c r="B17" s="25">
        <v>4</v>
      </c>
      <c r="C17" s="19" t="s">
        <v>257</v>
      </c>
      <c r="D17" s="25"/>
      <c r="E17" s="25"/>
      <c r="F17" s="25"/>
      <c r="G17" s="25"/>
      <c r="H17" s="19"/>
    </row>
    <row r="18" spans="1:8" ht="24" customHeight="1">
      <c r="B18" s="25">
        <v>5</v>
      </c>
      <c r="C18" s="19" t="s">
        <v>258</v>
      </c>
      <c r="D18" s="25"/>
      <c r="E18" s="25"/>
      <c r="F18" s="25"/>
      <c r="G18" s="25"/>
      <c r="H18" s="19"/>
    </row>
    <row r="19" spans="1:8" ht="24" customHeight="1">
      <c r="B19" s="25">
        <v>7</v>
      </c>
      <c r="C19" s="19" t="s">
        <v>259</v>
      </c>
      <c r="D19" s="25"/>
      <c r="E19" s="25"/>
      <c r="F19" s="25"/>
      <c r="G19" s="25"/>
      <c r="H19" s="19"/>
    </row>
    <row r="20" spans="1:8" ht="24" customHeight="1">
      <c r="B20" s="25">
        <v>8</v>
      </c>
      <c r="C20" s="19" t="s">
        <v>260</v>
      </c>
      <c r="D20" s="25"/>
      <c r="E20" s="25"/>
      <c r="F20" s="25"/>
      <c r="G20" s="25"/>
      <c r="H20" s="19"/>
    </row>
    <row r="22" spans="1:8" ht="21.75" customHeight="1">
      <c r="B22" s="11" t="s">
        <v>261</v>
      </c>
      <c r="C22" s="11"/>
      <c r="D22" s="11"/>
      <c r="E22" s="11"/>
      <c r="F22" s="11"/>
      <c r="G22" s="11"/>
      <c r="H22" s="11"/>
    </row>
    <row r="23" spans="1:8" ht="31.5" customHeight="1">
      <c r="A23" s="23" t="s">
        <v>78</v>
      </c>
      <c r="B23" s="40" t="s">
        <v>135</v>
      </c>
      <c r="C23" s="40" t="s">
        <v>262</v>
      </c>
      <c r="D23" s="40" t="s">
        <v>263</v>
      </c>
      <c r="E23" s="40" t="s">
        <v>71</v>
      </c>
      <c r="F23" s="40" t="s">
        <v>264</v>
      </c>
      <c r="G23" s="40" t="s">
        <v>265</v>
      </c>
      <c r="H23" s="40" t="s">
        <v>266</v>
      </c>
    </row>
    <row r="24" spans="1:8" ht="24" customHeight="1">
      <c r="B24" s="25">
        <v>1</v>
      </c>
      <c r="C24" s="25"/>
      <c r="D24" s="25"/>
      <c r="E24" s="25"/>
      <c r="F24" s="25"/>
      <c r="G24" s="25"/>
      <c r="H24" s="19"/>
    </row>
    <row r="25" spans="1:8" ht="24" customHeight="1">
      <c r="B25" s="25">
        <v>2</v>
      </c>
      <c r="C25" s="25"/>
      <c r="D25" s="25"/>
      <c r="E25" s="25"/>
      <c r="F25" s="25"/>
      <c r="G25" s="25"/>
      <c r="H25" s="19"/>
    </row>
    <row r="26" spans="1:8" ht="24" customHeight="1">
      <c r="B26" s="25">
        <v>3</v>
      </c>
      <c r="C26" s="25"/>
      <c r="D26" s="25"/>
      <c r="E26" s="25"/>
      <c r="F26" s="25"/>
      <c r="G26" s="25"/>
      <c r="H26" s="19"/>
    </row>
    <row r="27" spans="1:8" ht="24" customHeight="1">
      <c r="B27" s="25">
        <v>4</v>
      </c>
      <c r="C27" s="25"/>
      <c r="D27" s="25"/>
      <c r="E27" s="25"/>
      <c r="F27" s="25"/>
      <c r="G27" s="25"/>
      <c r="H27" s="19"/>
    </row>
    <row r="28" spans="1:8" ht="24" customHeight="1">
      <c r="B28" s="25">
        <v>5</v>
      </c>
      <c r="C28" s="25"/>
      <c r="D28" s="25"/>
      <c r="E28" s="25"/>
      <c r="F28" s="25"/>
      <c r="G28" s="25"/>
      <c r="H28" s="19"/>
    </row>
    <row r="29" spans="1:8" ht="24" customHeight="1">
      <c r="B29" s="25">
        <v>6</v>
      </c>
      <c r="C29" s="25"/>
      <c r="D29" s="25"/>
      <c r="E29" s="25"/>
      <c r="F29" s="25"/>
      <c r="G29" s="25"/>
      <c r="H29" s="19"/>
    </row>
    <row r="30" spans="1:8" ht="24" customHeight="1">
      <c r="B30" s="25">
        <v>7</v>
      </c>
      <c r="C30" s="25"/>
      <c r="D30" s="25"/>
      <c r="E30" s="25"/>
      <c r="F30" s="25"/>
      <c r="G30" s="25"/>
      <c r="H30" s="19"/>
    </row>
    <row r="1048576" ht="12.75"/>
  </sheetData>
  <mergeCells count="4">
    <mergeCell ref="B1:H1"/>
    <mergeCell ref="B3:H3"/>
    <mergeCell ref="B12:H12"/>
    <mergeCell ref="B22:H22"/>
  </mergeCells>
  <dataValidations count="3">
    <dataValidation type="list" allowBlank="1" sqref="E24:E30" xr:uid="{00000000-0002-0000-0800-000000000000}">
      <formula1>"Crash,ANR,Hang,Restart,Memory Pressure,Other"</formula1>
      <formula2>0</formula2>
    </dataValidation>
    <dataValidation type="list" allowBlank="1" sqref="F24:F30" xr:uid="{00000000-0002-0000-0800-000001000000}">
      <formula1>"Critical,High,Medium,Low,Info"</formula1>
      <formula2>0</formula2>
    </dataValidation>
    <dataValidation type="list" allowBlank="1" sqref="G24:G30" xr:uid="{00000000-0002-0000-0800-000002000000}">
      <formula1>"Yes,No,Partial"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Khaled Syed Mohammad Ali Hossain</cp:lastModifiedBy>
  <cp:revision>5</cp:revision>
  <dcterms:created xsi:type="dcterms:W3CDTF">2026-05-12T07:42:15Z</dcterms:created>
  <dcterms:modified xsi:type="dcterms:W3CDTF">2026-05-12T08:47:34Z</dcterms:modified>
  <cp:category/>
  <cp:contentStatus/>
</cp:coreProperties>
</file>